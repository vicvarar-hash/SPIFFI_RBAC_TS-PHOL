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initions" sheetId="1" state="visible" r:id="rId1"/>
    <sheet xmlns:r="http://schemas.openxmlformats.org/officeDocument/2006/relationships" name="Headline metrics" sheetId="2" state="visible" r:id="rId2"/>
    <sheet xmlns:r="http://schemas.openxmlformats.org/officeDocument/2006/relationships" name="5.1 Floor" sheetId="3" state="visible" r:id="rId3"/>
    <sheet xmlns:r="http://schemas.openxmlformats.org/officeDocument/2006/relationships" name="5.2 LLM alone" sheetId="4" state="visible" r:id="rId4"/>
    <sheet xmlns:r="http://schemas.openxmlformats.org/officeDocument/2006/relationships" name="5.3 Whole Flow claude-opus-4.8" sheetId="5" state="visible" r:id="rId5"/>
    <sheet xmlns:r="http://schemas.openxmlformats.org/officeDocument/2006/relationships" name="5.3 Whole Flow gpt-4o" sheetId="6" state="visible" r:id="rId6"/>
    <sheet xmlns:r="http://schemas.openxmlformats.org/officeDocument/2006/relationships" name="Logs on GitHub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"/>
    <numFmt numFmtId="166" formatCode="&quot;+&quot;0.0&quot; pp&quot;"/>
    <numFmt numFmtId="167" formatCode="0.00&quot;×&quot;"/>
  </numFmts>
  <fonts count="12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10"/>
    </font>
    <font>
      <b val="1"/>
      <color rgb="001F3864"/>
      <sz val="11"/>
    </font>
    <font>
      <b val="1"/>
    </font>
    <font>
      <b val="1"/>
      <color rgb="00FFFFFF"/>
    </font>
    <font>
      <name val="Consolas"/>
      <sz val="10"/>
    </font>
    <font>
      <color rgb="000563C1"/>
      <sz val="10"/>
      <u val="single"/>
    </font>
    <font>
      <b val="1"/>
      <color rgb="00FFFFFF"/>
      <sz val="13"/>
    </font>
    <font>
      <i val="1"/>
      <color rgb="00595959"/>
    </font>
    <font>
      <b val="1"/>
      <color rgb="001B7A3D"/>
    </font>
    <font>
      <color rgb="00404040"/>
    </font>
  </fonts>
  <fills count="12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4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 wrapText="1"/>
    </xf>
    <xf numFmtId="0" fontId="8" fillId="7" borderId="0" applyAlignment="1" pivotButton="0" quotePrefix="0" xfId="0">
      <alignment vertical="center"/>
    </xf>
    <xf numFmtId="0" fontId="9" fillId="0" borderId="0" applyAlignment="1" pivotButton="0" quotePrefix="0" xfId="0">
      <alignment vertical="top" wrapText="1"/>
    </xf>
    <xf numFmtId="0" fontId="5" fillId="8" borderId="0" applyAlignment="1" pivotButton="0" quotePrefix="0" xfId="0">
      <alignment vertical="center"/>
    </xf>
    <xf numFmtId="0" fontId="4" fillId="9" borderId="9" pivotButton="0" quotePrefix="0" xfId="0"/>
    <xf numFmtId="0" fontId="4" fillId="9" borderId="9" applyAlignment="1" pivotButton="0" quotePrefix="0" xfId="0">
      <alignment vertical="top" wrapText="1"/>
    </xf>
    <xf numFmtId="0" fontId="0" fillId="0" borderId="9" pivotButton="0" quotePrefix="0" xfId="0"/>
    <xf numFmtId="3" fontId="0" fillId="0" borderId="9" pivotButton="0" quotePrefix="0" xfId="0"/>
    <xf numFmtId="0" fontId="0" fillId="0" borderId="9" applyAlignment="1" pivotButton="0" quotePrefix="0" xfId="0">
      <alignment vertical="top" wrapText="1"/>
    </xf>
    <xf numFmtId="3" fontId="4" fillId="10" borderId="9" pivotButton="0" quotePrefix="0" xfId="0"/>
    <xf numFmtId="0" fontId="4" fillId="0" borderId="0" pivotButton="0" quotePrefix="0" xfId="0"/>
    <xf numFmtId="3" fontId="4" fillId="11" borderId="9" pivotButton="0" quotePrefix="0" xfId="0"/>
    <xf numFmtId="3" fontId="0" fillId="4" borderId="9" pivotButton="0" quotePrefix="0" xfId="0"/>
    <xf numFmtId="0" fontId="10" fillId="4" borderId="9" pivotButton="0" quotePrefix="0" xfId="0"/>
    <xf numFmtId="164" fontId="4" fillId="0" borderId="9" pivotButton="0" quotePrefix="0" xfId="0"/>
    <xf numFmtId="164" fontId="4" fillId="11" borderId="9" pivotButton="0" quotePrefix="0" xfId="0"/>
    <xf numFmtId="165" fontId="0" fillId="0" borderId="9" pivotButton="0" quotePrefix="0" xfId="0"/>
    <xf numFmtId="164" fontId="0" fillId="0" borderId="9" pivotButton="0" quotePrefix="0" xfId="0"/>
    <xf numFmtId="166" fontId="4" fillId="0" borderId="9" pivotButton="0" quotePrefix="0" xfId="0"/>
    <xf numFmtId="166" fontId="4" fillId="11" borderId="9" pivotButton="0" quotePrefix="0" xfId="0"/>
    <xf numFmtId="166" fontId="0" fillId="0" borderId="9" pivotButton="0" quotePrefix="0" xfId="0"/>
    <xf numFmtId="167" fontId="0" fillId="0" borderId="9" pivotButton="0" quotePrefix="0" xfId="0"/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github.com/vicvarar-hash/PALADIN_RESEARCH/blob/vivargas-microsoft-research-paper-editing/datasets/llm_inference_logs/20260613141204_gpt-35-turbo-16k_validation.json" TargetMode="External" Id="rId1"/><Relationship Type="http://schemas.openxmlformats.org/officeDocument/2006/relationships/hyperlink" Target="https://github.com/vicvarar-hash/PALADIN_RESEARCH/blob/vivargas-microsoft-research-paper-editing/datasets/llm_inference_logs/20260613005419_gpt-4o_validation.json" TargetMode="External" Id="rId2"/><Relationship Type="http://schemas.openxmlformats.org/officeDocument/2006/relationships/hyperlink" Target="https://github.com/vicvarar-hash/PALADIN_RESEARCH/blob/vivargas-microsoft-research-paper-editing/datasets/llm_inference_logs/20260612191843_gpt-5-4_validation.json" TargetMode="External" Id="rId3"/><Relationship Type="http://schemas.openxmlformats.org/officeDocument/2006/relationships/hyperlink" Target="https://github.com/vicvarar-hash/PALADIN_RESEARCH/blob/vivargas-microsoft-research-paper-editing/datasets/llm_inference_logs/20260708132606_claude-opus-4-8_validation.json" TargetMode="External" Id="rId4"/><Relationship Type="http://schemas.openxmlformats.org/officeDocument/2006/relationships/hyperlink" Target="https://github.com/vicvarar-hash/PALADIN_RESEARCH/blob/vivargas-microsoft-research-paper-editing/datasets/llm_inference_logs/20260708134906_claude-sonnet-4-6_validation.json" TargetMode="External" Id="rId5"/><Relationship Type="http://schemas.openxmlformats.org/officeDocument/2006/relationships/hyperlink" Target="https://github.com/vicvarar-hash/PALADIN_RESEARCH/blob/vivargas-microsoft-research-paper-editing/datasets/llm_inference_logs/20260708143259_gemini-2-5-pro_validation.json" TargetMode="External" Id="rId6"/><Relationship Type="http://schemas.openxmlformats.org/officeDocument/2006/relationships/hyperlink" Target="https://github.com/vicvarar-hash/PALADIN_RESEARCH/blob/vivargas-microsoft-research-paper-editing/datasets/llm_inference_logs/20260528110031_gpt-4o_selection.json" TargetMode="External" Id="rId7"/><Relationship Type="http://schemas.openxmlformats.org/officeDocument/2006/relationships/hyperlink" Target="https://github.com/vicvarar-hash/PALADIN_RESEARCH/blob/vivargas-microsoft-research-paper-editing/datasets/llm_inference_logs/20260613105137_gpt-5-4_selection.json" TargetMode="External" Id="rId8"/><Relationship Type="http://schemas.openxmlformats.org/officeDocument/2006/relationships/hyperlink" Target="https://github.com/vicvarar-hash/PALADIN_RESEARCH/blob/vivargas-microsoft-research-paper-editing/datasets/llm_inference_logs/20260708204822_claude-opus-4-8_selection.json" TargetMode="External" Id="rId9"/><Relationship Type="http://schemas.openxmlformats.org/officeDocument/2006/relationships/hyperlink" Target="https://github.com/vicvarar-hash/PALADIN_RESEARCH/blob/vivargas-microsoft-research-paper-editing/datasets/llm_inference_logs/20260708204903_claude-sonnet-4-6_selection.json" TargetMode="External" Id="rId10"/><Relationship Type="http://schemas.openxmlformats.org/officeDocument/2006/relationships/hyperlink" Target="https://github.com/vicvarar-hash/PALADIN_RESEARCH/blob/vivargas-microsoft-research-paper-editing/datasets/llm_inference_logs/20260811152539_gemini-2-5-pro_selection.json" TargetMode="External" Id="rId11"/><Relationship Type="http://schemas.openxmlformats.org/officeDocument/2006/relationships/hyperlink" Target="https://github.com/vicvarar-hash/PALADIN_RESEARCH/blob/vivargas-microsoft-research-paper-editing/datasets/llm_inference_logs/20260708204822_claude-opus-4-8_selection_TRUNCATED_BACKUP.json" TargetMode="External" Id="rId12"/><Relationship Type="http://schemas.openxmlformats.org/officeDocument/2006/relationships/hyperlink" Target="https://github.com/vicvarar-hash/PALADIN_RESEARCH/blob/vivargas-microsoft-research-paper-editing/datasets/llm_inference_logs/20260708204903_claude-sonnet-4-6_selection_TRUNCATED_BACKUP.json" TargetMode="External" Id="rId13"/><Relationship Type="http://schemas.openxmlformats.org/officeDocument/2006/relationships/hyperlink" Target="https://github.com/vicvarar-hash/PALADIN_RESEARCH/blob/vivargas-microsoft-research-paper-editing/datasets/astra_03_tools.json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  <col width="40" customWidth="1" min="5" max="5"/>
  </cols>
  <sheetData>
    <row r="1">
      <c r="A1" s="1" t="inlineStr">
        <is>
          <t>PALADIN — Confusion-matrix convention (TP / TN / FP / FN)</t>
        </is>
      </c>
    </row>
    <row r="2">
      <c r="A2" s="2" t="inlineStr">
        <is>
          <t>The single most important definition: everything (P, R, F1, Acc) depends on it.</t>
        </is>
      </c>
    </row>
    <row r="4">
      <c r="A4" s="3" t="inlineStr">
        <is>
          <t>The two axes</t>
        </is>
      </c>
    </row>
    <row r="5" ht="42" customHeight="1">
      <c r="A5" s="4" t="inlineStr">
        <is>
          <t>actual = valid / notvalid</t>
        </is>
      </c>
      <c r="B5" s="5" t="inlineStr">
        <is>
          <t>GROUND TRUTH: is the request legitimate?  valid = correct tool bundle (match_tag = correct) AND the persona is authorised for the task's domain;  notvalid = wrong/null bundle OR persona not authorised.</t>
        </is>
      </c>
      <c r="C5" s="6" t="n"/>
      <c r="D5" s="6" t="n"/>
      <c r="E5" s="7" t="n"/>
    </row>
    <row r="6" ht="42" customHeight="1">
      <c r="A6" s="4" t="inlineStr">
        <is>
          <t>decision = allowed / denied</t>
        </is>
      </c>
      <c r="B6" s="5" t="inlineStr">
        <is>
          <t>THE SYSTEM'S OUTPUT: the governance stack's final call (RBAC / ABAC / LLM-validation / TRAC → allowed or denied).</t>
        </is>
      </c>
      <c r="C6" s="6" t="n"/>
      <c r="D6" s="6" t="n"/>
      <c r="E6" s="7" t="n"/>
    </row>
    <row r="8">
      <c r="A8" s="3" t="inlineStr">
        <is>
          <t>Advisor grid — cell numbering</t>
        </is>
      </c>
    </row>
    <row r="9">
      <c r="C9" s="8" t="inlineStr">
        <is>
          <t>decision</t>
        </is>
      </c>
      <c r="D9" s="7" t="n"/>
    </row>
    <row r="10">
      <c r="A10" s="8" t="inlineStr">
        <is>
          <t>actual</t>
        </is>
      </c>
      <c r="B10" s="8" t="inlineStr"/>
      <c r="C10" s="8" t="inlineStr">
        <is>
          <t>allowed</t>
        </is>
      </c>
      <c r="D10" s="8" t="inlineStr">
        <is>
          <t>denied</t>
        </is>
      </c>
    </row>
    <row r="11">
      <c r="A11" s="9" t="n"/>
      <c r="B11" s="10" t="inlineStr">
        <is>
          <t>valid</t>
        </is>
      </c>
      <c r="C11" s="11" t="inlineStr">
        <is>
          <t>1</t>
        </is>
      </c>
      <c r="D11" s="12" t="inlineStr">
        <is>
          <t>2</t>
        </is>
      </c>
    </row>
    <row r="12">
      <c r="A12" s="13" t="n"/>
      <c r="B12" s="10" t="inlineStr">
        <is>
          <t>notvalid</t>
        </is>
      </c>
      <c r="C12" s="14" t="inlineStr">
        <is>
          <t>3</t>
        </is>
      </c>
      <c r="D12" s="11" t="inlineStr">
        <is>
          <t>4</t>
        </is>
      </c>
    </row>
    <row r="14">
      <c r="A14" s="3" t="inlineStr">
        <is>
          <t>Mapping — POSITIVE class = VALID  (predict-positive = ALLOWED)</t>
        </is>
      </c>
    </row>
    <row r="15">
      <c r="A15" s="8" t="inlineStr">
        <is>
          <t>Cell</t>
        </is>
      </c>
      <c r="B15" s="8" t="inlineStr">
        <is>
          <t>actual</t>
        </is>
      </c>
      <c r="C15" s="8" t="inlineStr">
        <is>
          <t>decision</t>
        </is>
      </c>
      <c r="D15" s="8" t="inlineStr">
        <is>
          <t>label</t>
        </is>
      </c>
      <c r="E15" s="8" t="inlineStr">
        <is>
          <t>meaning</t>
        </is>
      </c>
    </row>
    <row r="16" ht="30" customHeight="1">
      <c r="A16" s="11" t="inlineStr">
        <is>
          <t>1</t>
        </is>
      </c>
      <c r="B16" s="15" t="inlineStr">
        <is>
          <t>valid</t>
        </is>
      </c>
      <c r="C16" s="15" t="inlineStr">
        <is>
          <t>allowed</t>
        </is>
      </c>
      <c r="D16" s="11" t="inlineStr">
        <is>
          <t>TP</t>
        </is>
      </c>
      <c r="E16" s="5" t="inlineStr">
        <is>
          <t>correct allow</t>
        </is>
      </c>
    </row>
    <row r="17" ht="30" customHeight="1">
      <c r="A17" s="12" t="inlineStr">
        <is>
          <t>2</t>
        </is>
      </c>
      <c r="B17" s="15" t="inlineStr">
        <is>
          <t>valid</t>
        </is>
      </c>
      <c r="C17" s="15" t="inlineStr">
        <is>
          <t>denied</t>
        </is>
      </c>
      <c r="D17" s="12" t="inlineStr">
        <is>
          <t>FN</t>
        </is>
      </c>
      <c r="E17" s="5" t="inlineStr">
        <is>
          <t>false block — CANNOT recover; keep as low as possible → drives RECALL (availability)</t>
        </is>
      </c>
    </row>
    <row r="18" ht="30" customHeight="1">
      <c r="A18" s="14" t="inlineStr">
        <is>
          <t>3</t>
        </is>
      </c>
      <c r="B18" s="15" t="inlineStr">
        <is>
          <t>notvalid</t>
        </is>
      </c>
      <c r="C18" s="15" t="inlineStr">
        <is>
          <t>allowed</t>
        </is>
      </c>
      <c r="D18" s="14" t="inlineStr">
        <is>
          <t>FP</t>
        </is>
      </c>
      <c r="E18" s="5" t="inlineStr">
        <is>
          <t>security failure — RECOVERED by TRAC → drives PRECISION (security)</t>
        </is>
      </c>
    </row>
    <row r="19" ht="30" customHeight="1">
      <c r="A19" s="11" t="inlineStr">
        <is>
          <t>4</t>
        </is>
      </c>
      <c r="B19" s="15" t="inlineStr">
        <is>
          <t>notvalid</t>
        </is>
      </c>
      <c r="C19" s="15" t="inlineStr">
        <is>
          <t>denied</t>
        </is>
      </c>
      <c r="D19" s="11" t="inlineStr">
        <is>
          <t>TN</t>
        </is>
      </c>
      <c r="E19" s="5" t="inlineStr">
        <is>
          <t>correct block</t>
        </is>
      </c>
    </row>
    <row r="21">
      <c r="A21" s="3" t="inlineStr">
        <is>
          <t>Metrics (from the four cells)</t>
        </is>
      </c>
    </row>
    <row r="22" ht="30" customHeight="1">
      <c r="A22" s="4" t="inlineStr">
        <is>
          <t>Precision</t>
        </is>
      </c>
      <c r="B22" s="16" t="inlineStr">
        <is>
          <t>TP / (TP+FP) = 1 / (1+3)</t>
        </is>
      </c>
      <c r="C22" s="7" t="n"/>
      <c r="D22" s="5" t="inlineStr">
        <is>
          <t>SECURITY view — of everything ALLOWED, the share that was truly valid. TRAC raises it by catching cell-3 slips.</t>
        </is>
      </c>
      <c r="E22" s="7" t="n"/>
    </row>
    <row r="23" ht="30" customHeight="1">
      <c r="A23" s="4" t="inlineStr">
        <is>
          <t>Recall (TPR)</t>
        </is>
      </c>
      <c r="B23" s="16" t="inlineStr">
        <is>
          <t>TP / (TP+FN) = 1 / (1+2)</t>
        </is>
      </c>
      <c r="C23" s="7" t="n"/>
      <c r="D23" s="5" t="inlineStr">
        <is>
          <t>AVAILABILITY view — of everything truly VALID, the share we allowed. Cell-2 false blocks (unrecoverable) lower it.</t>
        </is>
      </c>
      <c r="E23" s="7" t="n"/>
    </row>
    <row r="24" ht="30" customHeight="1">
      <c r="A24" s="4" t="inlineStr">
        <is>
          <t>F1</t>
        </is>
      </c>
      <c r="B24" s="16" t="inlineStr">
        <is>
          <t>2·P·R / (P+R)</t>
        </is>
      </c>
      <c r="C24" s="7" t="n"/>
      <c r="D24" s="5" t="inlineStr">
        <is>
          <t>harmonic mean of the two.</t>
        </is>
      </c>
      <c r="E24" s="7" t="n"/>
    </row>
    <row r="25" ht="30" customHeight="1">
      <c r="A25" s="4" t="inlineStr">
        <is>
          <t>Accuracy</t>
        </is>
      </c>
      <c r="B25" s="16" t="inlineStr">
        <is>
          <t>(TP+TN) / N = (1+4) / (1+2+3+4)</t>
        </is>
      </c>
      <c r="C25" s="7" t="n"/>
      <c r="D25" s="5" t="inlineStr">
        <is>
          <t>overall correct fraction.</t>
        </is>
      </c>
      <c r="E25" s="7" t="n"/>
    </row>
    <row r="27">
      <c r="A27" s="2" t="inlineStr">
        <is>
          <t>One-line reading:  Precision ≙ security (higher = fewer illegitimate requests slip through)   ·   Recall ≙ availability (higher = fewer legitimate requests wrongly blocked).</t>
        </is>
      </c>
    </row>
  </sheetData>
  <mergeCells count="19">
    <mergeCell ref="B25:C25"/>
    <mergeCell ref="B6:E6"/>
    <mergeCell ref="B22:C22"/>
    <mergeCell ref="D22:E22"/>
    <mergeCell ref="B5:E5"/>
    <mergeCell ref="A10:A12"/>
    <mergeCell ref="B23:C23"/>
    <mergeCell ref="C9:D9"/>
    <mergeCell ref="A27:E27"/>
    <mergeCell ref="A21:E21"/>
    <mergeCell ref="A6"/>
    <mergeCell ref="A14:E14"/>
    <mergeCell ref="A8:E8"/>
    <mergeCell ref="D25:E25"/>
    <mergeCell ref="B24:C24"/>
    <mergeCell ref="A4:E4"/>
    <mergeCell ref="D24:E24"/>
    <mergeCell ref="D23:E23"/>
    <mergeCell ref="A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26" customWidth="1" min="3" max="3"/>
    <col width="22" customWidth="1" min="4" max="4"/>
    <col width="66" customWidth="1" min="5" max="5"/>
  </cols>
  <sheetData>
    <row r="1" ht="24" customHeight="1">
      <c r="A1" s="23" t="inlineStr">
        <is>
          <t>Headline metrics — derived from this workbook's funnel counts</t>
        </is>
      </c>
    </row>
    <row r="2" ht="42" customHeight="1">
      <c r="A2" s="24" t="inlineStr">
        <is>
          <t>Each value is a literal number so it displays in every viewer; the columns to its right give the exact formula, the input numbers, and the source cell/funnel. Only the two AMBER cells are external measured inputs — everything else is derived from them or linked to 5.1 / 5.3. n = 6,942 validation rows (1,157 tasks × 6 personas).</t>
        </is>
      </c>
    </row>
    <row r="4" ht="20" customHeight="1">
      <c r="A4" s="25" t="inlineStr">
        <is>
          <t>1)  Confusion matrix — deterministic floor (RBAC ∧ ABAC ∧ TRAC, no model in the loop)</t>
        </is>
      </c>
    </row>
    <row r="5">
      <c r="A5" s="26" t="inlineStr">
        <is>
          <t>Quantity</t>
        </is>
      </c>
      <c r="B5" s="26" t="inlineStr">
        <is>
          <t>Value</t>
        </is>
      </c>
      <c r="C5" s="26" t="inlineStr">
        <is>
          <t>Formula</t>
        </is>
      </c>
      <c r="D5" s="26" t="inlineStr">
        <is>
          <t>With the numbers</t>
        </is>
      </c>
      <c r="E5" s="27" t="inlineStr">
        <is>
          <t>Source / provenance</t>
        </is>
      </c>
    </row>
    <row r="6">
      <c r="A6" s="28" t="inlineStr">
        <is>
          <t>Validation rows (N)</t>
        </is>
      </c>
      <c r="B6" s="29" t="n">
        <v>6942</v>
      </c>
      <c r="C6" s="28" t="inlineStr">
        <is>
          <t>1,157 × 6</t>
        </is>
      </c>
      <c r="D6" s="28" t="inlineStr">
        <is>
          <t>6,942</t>
        </is>
      </c>
      <c r="E6" s="30">
        <f> '5.1 Floor'!B25</f>
        <v/>
      </c>
    </row>
    <row r="7">
      <c r="A7" s="28" t="inlineStr">
        <is>
          <t>valid  (correct ∧ domain-authorised)</t>
        </is>
      </c>
      <c r="B7" s="31" t="n">
        <v>1977</v>
      </c>
      <c r="C7" s="28" t="inlineStr">
        <is>
          <t>ground truth</t>
        </is>
      </c>
      <c r="D7" s="28" t="inlineStr">
        <is>
          <t>measured</t>
        </is>
      </c>
      <c r="E7" s="30" t="inlineStr">
        <is>
          <t>MEASURED INPUT — dataset ground truth: (task,persona) pairs where the persona is authorised for the task's domain. Equals TP+FN.</t>
        </is>
      </c>
    </row>
    <row r="8">
      <c r="A8" s="28" t="inlineStr">
        <is>
          <t>not-valid</t>
        </is>
      </c>
      <c r="B8" s="29" t="n">
        <v>4965</v>
      </c>
      <c r="C8" s="28" t="inlineStr">
        <is>
          <t>N − valid</t>
        </is>
      </c>
      <c r="D8" s="28" t="inlineStr">
        <is>
          <t>6,942 − 1,977</t>
        </is>
      </c>
      <c r="E8" s="30" t="inlineStr">
        <is>
          <t>derived</t>
        </is>
      </c>
    </row>
    <row r="10">
      <c r="A10" s="32" t="inlineStr">
        <is>
          <t>Valid-side survivor funnel  (these SHOULD be allowed)</t>
        </is>
      </c>
    </row>
    <row r="11">
      <c r="A11" s="26" t="inlineStr">
        <is>
          <t>stage</t>
        </is>
      </c>
      <c r="B11" s="26" t="inlineStr">
        <is>
          <t>admitted</t>
        </is>
      </c>
      <c r="C11" s="26" t="inlineStr"/>
      <c r="D11" s="26" t="inlineStr">
        <is>
          <t>denied at stage</t>
        </is>
      </c>
      <c r="E11" s="27" t="inlineStr">
        <is>
          <t>note</t>
        </is>
      </c>
    </row>
    <row r="12">
      <c r="A12" s="28" t="inlineStr">
        <is>
          <t>start (valid)</t>
        </is>
      </c>
      <c r="B12" s="29" t="n">
        <v>1977</v>
      </c>
      <c r="C12" s="28" t="inlineStr"/>
      <c r="D12" s="28" t="inlineStr"/>
      <c r="E12" s="30" t="inlineStr"/>
    </row>
    <row r="13">
      <c r="A13" s="28" t="inlineStr">
        <is>
          <t>after RBAC ∧ ABAC</t>
        </is>
      </c>
      <c r="B13" s="29" t="n">
        <v>1098</v>
      </c>
      <c r="C13" s="28" t="inlineStr"/>
      <c r="D13" s="29" t="n">
        <v>879</v>
      </c>
      <c r="E13" s="30">
        <f> '5.1 Floor'!E25 ;  879 valid denied by tool-level least privilege</f>
        <v/>
      </c>
    </row>
    <row r="14">
      <c r="A14" s="28" t="inlineStr">
        <is>
          <t>after TRAC  ⇒  TP</t>
        </is>
      </c>
      <c r="B14" s="33" t="n">
        <v>886</v>
      </c>
      <c r="C14" s="28" t="inlineStr"/>
      <c r="D14" s="29" t="n">
        <v>212</v>
      </c>
      <c r="E14" s="30">
        <f> '5.1 Floor'!F25 ;  212 valid denied by TRAC (false blocks)</f>
        <v/>
      </c>
    </row>
    <row r="16">
      <c r="A16" s="32" t="inlineStr">
        <is>
          <t>Not-valid-side survivor funnel  (these SHOULD be denied)</t>
        </is>
      </c>
    </row>
    <row r="17">
      <c r="A17" s="26" t="inlineStr">
        <is>
          <t>stage</t>
        </is>
      </c>
      <c r="B17" s="26" t="inlineStr">
        <is>
          <t>admitted</t>
        </is>
      </c>
      <c r="C17" s="26" t="inlineStr"/>
      <c r="D17" s="26" t="inlineStr">
        <is>
          <t>caught at stage</t>
        </is>
      </c>
      <c r="E17" s="27" t="inlineStr">
        <is>
          <t>note</t>
        </is>
      </c>
    </row>
    <row r="18">
      <c r="A18" s="28" t="inlineStr">
        <is>
          <t>start (not-valid)</t>
        </is>
      </c>
      <c r="B18" s="29" t="n">
        <v>4965</v>
      </c>
      <c r="C18" s="28" t="inlineStr"/>
      <c r="D18" s="28" t="inlineStr"/>
      <c r="E18" s="30" t="inlineStr"/>
    </row>
    <row r="19">
      <c r="A19" s="28" t="inlineStr">
        <is>
          <t>after RBAC</t>
        </is>
      </c>
      <c r="B19" s="29" t="n">
        <v>1200</v>
      </c>
      <c r="C19" s="28" t="inlineStr"/>
      <c r="D19" s="29" t="n">
        <v>3765</v>
      </c>
      <c r="E19" s="30" t="inlineStr">
        <is>
          <t>deterministic-floor replay (no model)</t>
        </is>
      </c>
    </row>
    <row r="20">
      <c r="A20" s="28" t="inlineStr">
        <is>
          <t>after ABAC</t>
        </is>
      </c>
      <c r="B20" s="29" t="n">
        <v>1108</v>
      </c>
      <c r="C20" s="28" t="inlineStr"/>
      <c r="D20" s="29" t="n">
        <v>92</v>
      </c>
      <c r="E20" s="30" t="inlineStr"/>
    </row>
    <row r="21">
      <c r="A21" s="28" t="inlineStr">
        <is>
          <t>after TRAC  ⇒  FP</t>
        </is>
      </c>
      <c r="B21" s="31" t="n">
        <v>511</v>
      </c>
      <c r="C21" s="28" t="inlineStr"/>
      <c r="D21" s="29" t="n">
        <v>597</v>
      </c>
      <c r="E21" s="30" t="inlineStr">
        <is>
          <t>MEASURED INPUT (floor replay). TN = 4,965 − 511 = 4,454.</t>
        </is>
      </c>
    </row>
    <row r="23">
      <c r="A23" s="26" t="inlineStr">
        <is>
          <t>2 × 2 matrix</t>
        </is>
      </c>
      <c r="B23" s="26" t="inlineStr">
        <is>
          <t>allowed</t>
        </is>
      </c>
      <c r="C23" s="26" t="inlineStr">
        <is>
          <t>denied</t>
        </is>
      </c>
      <c r="D23" s="26" t="inlineStr">
        <is>
          <t>total</t>
        </is>
      </c>
      <c r="E23" s="27" t="inlineStr"/>
    </row>
    <row r="24">
      <c r="A24" s="28" t="inlineStr">
        <is>
          <t>valid</t>
        </is>
      </c>
      <c r="B24" s="29" t="n">
        <v>886</v>
      </c>
      <c r="C24" s="29" t="n">
        <v>1091</v>
      </c>
      <c r="D24" s="29" t="n">
        <v>1977</v>
      </c>
      <c r="E24" s="30" t="inlineStr">
        <is>
          <t>TP = correct allow ;  FN = false block (unrecoverable)</t>
        </is>
      </c>
    </row>
    <row r="25">
      <c r="A25" s="28" t="inlineStr">
        <is>
          <t>not-valid</t>
        </is>
      </c>
      <c r="B25" s="29" t="n">
        <v>511</v>
      </c>
      <c r="C25" s="29" t="n">
        <v>4454</v>
      </c>
      <c r="D25" s="29" t="n">
        <v>4965</v>
      </c>
      <c r="E25" s="30" t="inlineStr">
        <is>
          <t>FP = security failure ;  TN = correct block</t>
        </is>
      </c>
    </row>
    <row r="26">
      <c r="A26" s="28" t="inlineStr">
        <is>
          <t>check: TP+FP+FN+TN</t>
        </is>
      </c>
      <c r="B26" s="34" t="n">
        <v>6942</v>
      </c>
      <c r="C26" s="35">
        <f> N ✓</f>
        <v/>
      </c>
      <c r="D26" s="28" t="inlineStr">
        <is>
          <t>886+511+1091+4454</t>
        </is>
      </c>
      <c r="E26" s="30" t="inlineStr">
        <is>
          <t>internal consistency OK</t>
        </is>
      </c>
    </row>
    <row r="28" ht="20" customHeight="1">
      <c r="A28" s="25" t="inlineStr">
        <is>
          <t>2)  Deterministic-floor headline metrics  (all computed from the four cells above)</t>
        </is>
      </c>
    </row>
    <row r="29">
      <c r="A29" s="26" t="inlineStr">
        <is>
          <t>Metric</t>
        </is>
      </c>
      <c r="B29" s="26" t="inlineStr">
        <is>
          <t>Value</t>
        </is>
      </c>
      <c r="C29" s="26" t="inlineStr">
        <is>
          <t>Formula</t>
        </is>
      </c>
      <c r="D29" s="26" t="inlineStr">
        <is>
          <t>With the numbers</t>
        </is>
      </c>
      <c r="E29" s="27" t="inlineStr">
        <is>
          <t>Reading</t>
        </is>
      </c>
    </row>
    <row r="30">
      <c r="A30" s="28" t="inlineStr">
        <is>
          <t>Precision  = SECURITY</t>
        </is>
      </c>
      <c r="B30" s="36" t="n">
        <v>0.6342161775232641</v>
      </c>
      <c r="C30" s="28" t="inlineStr">
        <is>
          <t>TP / (TP+FP)</t>
        </is>
      </c>
      <c r="D30" s="28" t="inlineStr">
        <is>
          <t>886 / 1,397</t>
        </is>
      </c>
      <c r="E30" s="30" t="inlineStr">
        <is>
          <t>of everything allowed, the share that was truly valid</t>
        </is>
      </c>
    </row>
    <row r="31">
      <c r="A31" s="28" t="inlineStr">
        <is>
          <t>Recall  = domain-eligible RETENTION</t>
        </is>
      </c>
      <c r="B31" s="36" t="n">
        <v>0.4481537683358624</v>
      </c>
      <c r="C31" s="28" t="inlineStr">
        <is>
          <t>TP / (TP+FN)</t>
        </is>
      </c>
      <c r="D31" s="28" t="inlineStr">
        <is>
          <t>886 / 1,977</t>
        </is>
      </c>
      <c r="E31" s="30" t="inlineStr">
        <is>
          <t>of all domain-eligible bundles, the share admitted (coarse benchmark label)</t>
        </is>
      </c>
    </row>
    <row r="32">
      <c r="A32" s="28" t="inlineStr">
        <is>
          <t>Security-failure rate  (leak)</t>
        </is>
      </c>
      <c r="B32" s="37" t="n">
        <v>0.102920443101712</v>
      </c>
      <c r="C32" s="28" t="inlineStr">
        <is>
          <t>FP / (FP+TN)</t>
        </is>
      </c>
      <c r="D32" s="28" t="inlineStr">
        <is>
          <t>511 / 4,965</t>
        </is>
      </c>
      <c r="E32" s="30" t="inlineStr">
        <is>
          <t>of all not-valid requests, the share that leaked through</t>
        </is>
      </c>
    </row>
    <row r="33">
      <c r="A33" s="28" t="inlineStr">
        <is>
          <t>F1</t>
        </is>
      </c>
      <c r="B33" s="38" t="n">
        <v>0.5251926496739775</v>
      </c>
      <c r="C33" s="28" t="inlineStr">
        <is>
          <t>2·P·R / (P+R)</t>
        </is>
      </c>
      <c r="D33" s="28" t="inlineStr"/>
      <c r="E33" s="30" t="inlineStr">
        <is>
          <t>harmonic mean of security and retention</t>
        </is>
      </c>
    </row>
    <row r="34">
      <c r="A34" s="28" t="inlineStr">
        <is>
          <t>Accuracy</t>
        </is>
      </c>
      <c r="B34" s="39" t="n">
        <v>0.7692307692307693</v>
      </c>
      <c r="C34" s="28" t="inlineStr">
        <is>
          <t>(TP+TN) / N</t>
        </is>
      </c>
      <c r="D34" s="28" t="inlineStr">
        <is>
          <t>5,340 / 6,942</t>
        </is>
      </c>
      <c r="E34" s="30" t="inlineStr">
        <is>
          <t>overall correct fraction</t>
        </is>
      </c>
    </row>
    <row r="36" ht="20" customHeight="1">
      <c r="A36" s="25" t="inlineStr">
        <is>
          <t>3)  Policy-conditioned availability  —  on the authorised &amp; correct subset only (n = 1,098)</t>
        </is>
      </c>
    </row>
    <row r="37" ht="40" customHeight="1">
      <c r="A37" s="24" t="inlineStr">
        <is>
          <t>The 1,091 denied valid requests split into 879 intended least-privilege RBAC/ABAC denials (a correct security decision) and 212 genuine TRAC false blocks. Availability is measured only on the subset PALADIN could admit: the 1,098 correct requests that pass RBAC/ABAC.</t>
        </is>
      </c>
    </row>
    <row r="38">
      <c r="A38" s="26" t="inlineStr">
        <is>
          <t>Metric</t>
        </is>
      </c>
      <c r="B38" s="26" t="inlineStr">
        <is>
          <t>Value</t>
        </is>
      </c>
      <c r="C38" s="26" t="inlineStr">
        <is>
          <t>Formula</t>
        </is>
      </c>
      <c r="D38" s="26" t="inlineStr">
        <is>
          <t>With the numbers</t>
        </is>
      </c>
      <c r="E38" s="27" t="inlineStr">
        <is>
          <t>Source</t>
        </is>
      </c>
    </row>
    <row r="39">
      <c r="A39" s="28" t="inlineStr">
        <is>
          <t>Admissible subset (correct ∧ RBAC/ABAC-authorised)</t>
        </is>
      </c>
      <c r="B39" s="29" t="n">
        <v>1098</v>
      </c>
      <c r="C39" s="28" t="inlineStr"/>
      <c r="D39" s="28" t="inlineStr">
        <is>
          <t>1,098</t>
        </is>
      </c>
      <c r="E39" s="30">
        <f> '5.1 Floor'!E25</f>
        <v/>
      </c>
    </row>
    <row r="40">
      <c r="A40" s="28" t="inlineStr">
        <is>
          <t>Admitted (∧ TRAC)</t>
        </is>
      </c>
      <c r="B40" s="29" t="n">
        <v>886</v>
      </c>
      <c r="C40" s="28" t="inlineStr"/>
      <c r="D40" s="28" t="inlineStr">
        <is>
          <t>886</t>
        </is>
      </c>
      <c r="E40" s="30">
        <f> '5.1 Floor'!F25</f>
        <v/>
      </c>
    </row>
    <row r="41">
      <c r="A41" s="28" t="inlineStr">
        <is>
          <t>Policy-conditioned AVAILABILITY</t>
        </is>
      </c>
      <c r="B41" s="37" t="n">
        <v>0.8069216757741348</v>
      </c>
      <c r="C41" s="28" t="inlineStr">
        <is>
          <t>886 / 1,098</t>
        </is>
      </c>
      <c r="D41" s="28" t="inlineStr"/>
      <c r="E41" s="30" t="inlineStr">
        <is>
          <t>authorised &amp; correct work ultimately admitted</t>
        </is>
      </c>
    </row>
    <row r="42">
      <c r="A42" s="28" t="inlineStr">
        <is>
          <t>Policy-conditioned FALSE-BLOCK rate</t>
        </is>
      </c>
      <c r="B42" s="36" t="n">
        <v>0.1930783242258652</v>
      </c>
      <c r="C42" s="28" t="inlineStr">
        <is>
          <t>212 / 1,098</t>
        </is>
      </c>
      <c r="D42" s="28">
        <f> 1 − availability</f>
        <v/>
      </c>
      <c r="E42" s="30" t="inlineStr">
        <is>
          <t>truly admissible work wrongly blocked by TRAC</t>
        </is>
      </c>
    </row>
    <row r="44" ht="20" customHeight="1">
      <c r="A44" s="25" t="inlineStr">
        <is>
          <t>4)  Layer ablation (8-subset) &amp; drop-one marginals  —  deterministic floor, security-failure leak</t>
        </is>
      </c>
    </row>
    <row r="45">
      <c r="A45" s="26" t="inlineStr">
        <is>
          <t>Policy subset</t>
        </is>
      </c>
      <c r="B45" s="26" t="inlineStr">
        <is>
          <t>Leak</t>
        </is>
      </c>
      <c r="C45" s="26" t="inlineStr"/>
      <c r="D45" s="26" t="inlineStr"/>
      <c r="E45" s="27" t="inlineStr">
        <is>
          <t>note</t>
        </is>
      </c>
    </row>
    <row r="46">
      <c r="A46" s="28" t="inlineStr">
        <is>
          <t>no policy</t>
        </is>
      </c>
      <c r="B46" s="39" t="n">
        <v>1</v>
      </c>
      <c r="C46" s="28" t="inlineStr"/>
      <c r="D46" s="28" t="inlineStr"/>
      <c r="E46" s="30" t="inlineStr">
        <is>
          <t>FP / not-valid with only these layers active</t>
        </is>
      </c>
    </row>
    <row r="47">
      <c r="A47" s="28" t="inlineStr">
        <is>
          <t>RBAC</t>
        </is>
      </c>
      <c r="B47" s="39" t="n">
        <v>0.242</v>
      </c>
      <c r="C47" s="28" t="inlineStr"/>
      <c r="D47" s="28" t="inlineStr"/>
      <c r="E47" s="30" t="inlineStr">
        <is>
          <t>FP / not-valid with only these layers active</t>
        </is>
      </c>
    </row>
    <row r="48">
      <c r="A48" s="28" t="inlineStr">
        <is>
          <t>ABAC</t>
        </is>
      </c>
      <c r="B48" s="39" t="n">
        <v>0.61</v>
      </c>
      <c r="C48" s="28" t="inlineStr"/>
      <c r="D48" s="28" t="inlineStr"/>
      <c r="E48" s="30" t="inlineStr">
        <is>
          <t>FP / not-valid with only these layers active</t>
        </is>
      </c>
    </row>
    <row r="49">
      <c r="A49" s="28" t="inlineStr">
        <is>
          <t>TRAC</t>
        </is>
      </c>
      <c r="B49" s="39" t="n">
        <v>0.544</v>
      </c>
      <c r="C49" s="28" t="inlineStr"/>
      <c r="D49" s="28" t="inlineStr"/>
      <c r="E49" s="30" t="inlineStr">
        <is>
          <t>FP / not-valid with only these layers active</t>
        </is>
      </c>
    </row>
    <row r="50">
      <c r="A50" s="28" t="inlineStr">
        <is>
          <t>RBAC+ABAC</t>
        </is>
      </c>
      <c r="B50" s="39" t="n">
        <v>0.223</v>
      </c>
      <c r="C50" s="28" t="inlineStr"/>
      <c r="D50" s="28" t="inlineStr"/>
      <c r="E50" s="30" t="inlineStr">
        <is>
          <t>FP / not-valid with only these layers active</t>
        </is>
      </c>
    </row>
    <row r="51">
      <c r="A51" s="28" t="inlineStr">
        <is>
          <t>RBAC+TRAC</t>
        </is>
      </c>
      <c r="B51" s="39" t="n">
        <v>0.112</v>
      </c>
      <c r="C51" s="28" t="inlineStr"/>
      <c r="D51" s="28" t="inlineStr"/>
      <c r="E51" s="30" t="inlineStr">
        <is>
          <t>FP / not-valid with only these layers active</t>
        </is>
      </c>
    </row>
    <row r="52">
      <c r="A52" s="28" t="inlineStr">
        <is>
          <t>ABAC+TRAC</t>
        </is>
      </c>
      <c r="B52" s="39" t="n">
        <v>0.31</v>
      </c>
      <c r="C52" s="28" t="inlineStr"/>
      <c r="D52" s="28" t="inlineStr"/>
      <c r="E52" s="30" t="inlineStr">
        <is>
          <t>FP / not-valid with only these layers active</t>
        </is>
      </c>
    </row>
    <row r="53">
      <c r="A53" s="28" t="inlineStr">
        <is>
          <t>FULL (R+A+T)</t>
        </is>
      </c>
      <c r="B53" s="37" t="n">
        <v>0.103</v>
      </c>
      <c r="C53" s="28" t="inlineStr"/>
      <c r="D53" s="28" t="inlineStr"/>
      <c r="E53" s="30" t="inlineStr">
        <is>
          <t>FP / not-valid with only these layers active</t>
        </is>
      </c>
    </row>
    <row r="55">
      <c r="A55" s="26" t="inlineStr">
        <is>
          <t>Drop-one marginal</t>
        </is>
      </c>
      <c r="B55" s="26" t="inlineStr">
        <is>
          <t>Δ (pp)</t>
        </is>
      </c>
      <c r="C55" s="26" t="inlineStr">
        <is>
          <t>Formula</t>
        </is>
      </c>
      <c r="D55" s="26" t="inlineStr">
        <is>
          <t>With the numbers</t>
        </is>
      </c>
      <c r="E55" s="27" t="inlineStr">
        <is>
          <t>reading</t>
        </is>
      </c>
    </row>
    <row r="56">
      <c r="A56" s="28" t="inlineStr">
        <is>
          <t>RBAC</t>
        </is>
      </c>
      <c r="B56" s="40" t="n">
        <v>20.7</v>
      </c>
      <c r="C56" s="28" t="inlineStr">
        <is>
          <t>leak(ABAC+TRAC) − leak(FULL)</t>
        </is>
      </c>
      <c r="D56" s="28" t="inlineStr">
        <is>
          <t>0.310 − 0.103</t>
        </is>
      </c>
      <c r="E56" s="30" t="inlineStr">
        <is>
          <t>largest single contributor</t>
        </is>
      </c>
    </row>
    <row r="57">
      <c r="A57" s="28" t="inlineStr">
        <is>
          <t>TRAC</t>
        </is>
      </c>
      <c r="B57" s="41" t="n">
        <v>12</v>
      </c>
      <c r="C57" s="28" t="inlineStr">
        <is>
          <t>leak(RBAC+ABAC) − leak(FULL)</t>
        </is>
      </c>
      <c r="D57" s="28" t="inlineStr">
        <is>
          <t>0.223 − 0.103</t>
        </is>
      </c>
      <c r="E57" s="30" t="inlineStr">
        <is>
          <t>the novel task-relational layer is load-bearing</t>
        </is>
      </c>
    </row>
    <row r="58">
      <c r="A58" s="28" t="inlineStr">
        <is>
          <t>ABAC</t>
        </is>
      </c>
      <c r="B58" s="42" t="n">
        <v>0.9</v>
      </c>
      <c r="C58" s="28" t="inlineStr">
        <is>
          <t>leak(RBAC+TRAC) − leak(FULL)</t>
        </is>
      </c>
      <c r="D58" s="28" t="inlineStr">
        <is>
          <t>0.112 − 0.103</t>
        </is>
      </c>
      <c r="E58" s="30" t="inlineStr">
        <is>
          <t>small marginal, but a backstop</t>
        </is>
      </c>
    </row>
    <row r="59">
      <c r="A59" s="28" t="inlineStr">
        <is>
          <t>RBAC+ABAC vs FULL</t>
        </is>
      </c>
      <c r="B59" s="43" t="n">
        <v>2.165048543689321</v>
      </c>
      <c r="C59" s="28" t="inlineStr">
        <is>
          <t>leak(RBAC+ABAC) / leak(FULL)</t>
        </is>
      </c>
      <c r="D59" s="28" t="inlineStr">
        <is>
          <t>0.223 / 0.103</t>
        </is>
      </c>
      <c r="E59" s="30" t="inlineStr">
        <is>
          <t>dropping TRAC ≈ doubles the leak</t>
        </is>
      </c>
    </row>
    <row r="61" ht="20" customHeight="1">
      <c r="A61" s="25" t="inlineStr">
        <is>
          <t>5)  Per-model security-failure  —  LLM alone (baseline) vs full PALADIN stack</t>
        </is>
      </c>
    </row>
    <row r="62">
      <c r="A62" s="26" t="inlineStr">
        <is>
          <t>Model</t>
        </is>
      </c>
      <c r="B62" s="26" t="inlineStr">
        <is>
          <t>LLM alone (E4)</t>
        </is>
      </c>
      <c r="C62" s="26" t="inlineStr">
        <is>
          <t>Full stack</t>
        </is>
      </c>
      <c r="D62" s="26" t="inlineStr"/>
      <c r="E62" s="27" t="inlineStr">
        <is>
          <t>note</t>
        </is>
      </c>
    </row>
    <row r="63">
      <c r="A63" s="28" t="inlineStr">
        <is>
          <t>gpt-3.5-turbo-16k</t>
        </is>
      </c>
      <c r="B63" s="39" t="n">
        <v>0.482</v>
      </c>
      <c r="C63" s="39" t="n">
        <v>0.043</v>
      </c>
      <c r="D63" s="28" t="inlineStr"/>
      <c r="E63" s="30" t="inlineStr"/>
    </row>
    <row r="64">
      <c r="A64" s="28" t="inlineStr">
        <is>
          <t>gpt-4o</t>
        </is>
      </c>
      <c r="B64" s="39" t="n">
        <v>0.268</v>
      </c>
      <c r="C64" s="39" t="n">
        <v>0.021</v>
      </c>
      <c r="D64" s="28" t="inlineStr"/>
      <c r="E64" s="30" t="inlineStr"/>
    </row>
    <row r="65">
      <c r="A65" s="28" t="inlineStr">
        <is>
          <t>gpt-5.4</t>
        </is>
      </c>
      <c r="B65" s="39" t="n">
        <v>0.665</v>
      </c>
      <c r="C65" s="39" t="n">
        <v>0.073</v>
      </c>
      <c r="D65" s="28" t="inlineStr"/>
      <c r="E65" s="30" t="inlineStr"/>
    </row>
    <row r="66">
      <c r="A66" s="28" t="inlineStr">
        <is>
          <t>claude-opus-4.8</t>
        </is>
      </c>
      <c r="B66" s="39" t="n">
        <v>0.493</v>
      </c>
      <c r="C66" s="39" t="n">
        <v>0.04</v>
      </c>
      <c r="D66" s="28" t="inlineStr"/>
      <c r="E66" s="30" t="inlineStr"/>
    </row>
    <row r="67">
      <c r="A67" s="28" t="inlineStr">
        <is>
          <t>claude-sonnet-4.6</t>
        </is>
      </c>
      <c r="B67" s="39" t="n">
        <v>0.517</v>
      </c>
      <c r="C67" s="39" t="n">
        <v>0.051</v>
      </c>
      <c r="D67" s="28" t="inlineStr"/>
      <c r="E67" s="30" t="inlineStr"/>
    </row>
    <row r="68">
      <c r="A68" s="28" t="inlineStr">
        <is>
          <t>gemini-2.5-pro</t>
        </is>
      </c>
      <c r="B68" s="39" t="n">
        <v>0.628</v>
      </c>
      <c r="C68" s="39" t="n">
        <v>0.059</v>
      </c>
      <c r="D68" s="28" t="inlineStr"/>
      <c r="E68" s="30" t="inlineStr"/>
    </row>
    <row r="69">
      <c r="A69" s="26" t="inlineStr">
        <is>
          <t>SPAN</t>
        </is>
      </c>
      <c r="B69" s="26" t="inlineStr">
        <is>
          <t>26.8%–66.5%</t>
        </is>
      </c>
      <c r="C69" s="26" t="inlineStr">
        <is>
          <t>2.1%–7.3%</t>
        </is>
      </c>
      <c r="D69" s="26" t="inlineStr"/>
      <c r="E69" s="27" t="inlineStr">
        <is>
          <t>LLM alone leaks 26.8–66.5%; composed with the floor no model exceeds 7.3% (all ≤ the 10.3% floor)</t>
        </is>
      </c>
    </row>
    <row r="70">
      <c r="A70" s="28" t="inlineStr">
        <is>
          <t>cross-check: opus full stack</t>
        </is>
      </c>
      <c r="B70" s="29" t="n">
        <v>198</v>
      </c>
      <c r="C70" s="39" t="n">
        <v>0.03987915407854985</v>
      </c>
      <c r="D70" s="28" t="inlineStr">
        <is>
          <t>198 / 4,965</t>
        </is>
      </c>
      <c r="E70" s="30" t="inlineStr">
        <is>
          <t>198 = '5.3 Whole Flow claude-opus-4.8'!F14  →  4.0% ✓ matches row above</t>
        </is>
      </c>
    </row>
    <row r="71">
      <c r="A71" s="28" t="inlineStr">
        <is>
          <t>cross-check: gpt-4o full stack</t>
        </is>
      </c>
      <c r="B71" s="29" t="n">
        <v>105</v>
      </c>
      <c r="C71" s="39" t="n">
        <v>0.02114803625377644</v>
      </c>
      <c r="D71" s="28" t="inlineStr">
        <is>
          <t>105 / 4,965</t>
        </is>
      </c>
      <c r="E71" s="30" t="inlineStr">
        <is>
          <t>105 = '5.3 Whole Flow gpt-4o'!F14  →  2.1% ✓ matches row above</t>
        </is>
      </c>
    </row>
    <row r="73" ht="20" customHeight="1">
      <c r="A73" s="25" t="inlineStr">
        <is>
          <t>6)  Provenance of the two measured inputs &amp; paper-only spans</t>
        </is>
      </c>
    </row>
    <row r="74" ht="42" customHeight="1">
      <c r="A74" s="44" t="inlineStr">
        <is>
          <t>•  valid = 1,977  →  the number of (task,persona) rows that are BOTH task-correct and domain-authorised. Ground-truth property of the ASTRA corpus (datasets/astra_03_tools.json), independent of any model. Complement: not-valid = 4,965.</t>
        </is>
      </c>
    </row>
    <row r="75" ht="42" customHeight="1">
      <c r="A75" s="44" t="inlineStr">
        <is>
          <t>•  FP = 511  →  final cell of the not-valid deterministic-floor funnel 4,965 → RBAC 1,200 → ABAC 1,108 → TRAC 511 (caught 3,765 / 92 / 597 = 4,454 = TN). Model-independent replay; no LLM in the loop.</t>
        </is>
      </c>
    </row>
    <row r="76" ht="42" customHeight="1">
      <c r="A76" s="44" t="inlineStr">
        <is>
          <t>•  Layer-ablation leaks (§4) and per-model E4/FULL leaks (§5) are computed by replaying the same logs through the policy engine with the stated layer subset / model. The 5.2 tab shows a different lens (model judgement P/R under positive=correct), so its numbers are not the leak rates used here.</t>
        </is>
      </c>
    </row>
    <row r="77" ht="42" customHeight="1">
      <c r="A77" s="44" t="inlineStr">
        <is>
          <t>•  Every count ultimately traces to the raw inference logs enumerated in the 'Logs on GitHub' tab and to astra_03_tools.json.</t>
        </is>
      </c>
    </row>
  </sheetData>
  <mergeCells count="13">
    <mergeCell ref="A77:E77"/>
    <mergeCell ref="A4:E4"/>
    <mergeCell ref="A61:E61"/>
    <mergeCell ref="A73:E73"/>
    <mergeCell ref="A2:E2"/>
    <mergeCell ref="A28:E28"/>
    <mergeCell ref="A76:E76"/>
    <mergeCell ref="A1:E1"/>
    <mergeCell ref="A37:E37"/>
    <mergeCell ref="A75:E75"/>
    <mergeCell ref="A36:E36"/>
    <mergeCell ref="A44:E44"/>
    <mergeCell ref="A74:E7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15" customWidth="1" min="5" max="5"/>
    <col width="9" customWidth="1" min="6" max="6"/>
  </cols>
  <sheetData>
    <row r="1">
      <c r="A1" s="1" t="inlineStr">
        <is>
          <t>5.1 - Per-persona deterministic floor (model-independent)  -  3-tool set</t>
        </is>
      </c>
    </row>
    <row r="2" ht="28" customHeight="1">
      <c r="A2" s="2" t="inlineStr">
        <is>
          <t>Replaces Figure 2. RBAC ^ ABAC ^ TRAC with NO model in the loop - bit-identical for every model. Each cell = requests ADMITTED after that cumulative gate. Sliced by the six personas.</t>
        </is>
      </c>
    </row>
    <row r="3">
      <c r="A3" s="2" t="inlineStr">
        <is>
          <t>model-independent - computed directly from dataset bundles (no model log)  -  replay fidelity: selection 1.0, validation 1.0</t>
        </is>
      </c>
    </row>
    <row r="5" ht="26" customHeight="1">
      <c r="A5" s="3" t="inlineStr">
        <is>
          <t>SELECTION  -  all tools are correct  (each task's GROUNDTRUTH bundle; perfect selection, no LLM gate)</t>
        </is>
      </c>
    </row>
    <row r="6" ht="24" customHeight="1">
      <c r="A6" s="2" t="inlineStr">
        <is>
          <t>Floor over all 1,157 tasks/persona using the correct bundle. Gates: RBAC -&gt; ABAC -&gt; TRAC.</t>
        </is>
      </c>
    </row>
    <row r="7">
      <c r="A7" s="8" t="inlineStr">
        <is>
          <t>persona</t>
        </is>
      </c>
      <c r="B7" s="8" t="inlineStr">
        <is>
          <t>total</t>
        </is>
      </c>
      <c r="C7" s="8" t="inlineStr">
        <is>
          <t>RBAC</t>
        </is>
      </c>
      <c r="D7" s="8" t="inlineStr">
        <is>
          <t>ABAC</t>
        </is>
      </c>
      <c r="E7" s="8" t="inlineStr">
        <is>
          <t>TRAC</t>
        </is>
      </c>
    </row>
    <row r="8">
      <c r="A8" s="5" t="inlineStr">
        <is>
          <t>1  DevOps (L3)</t>
        </is>
      </c>
      <c r="B8" s="15" t="n">
        <v>1157</v>
      </c>
      <c r="C8" s="15" t="n">
        <v>770</v>
      </c>
      <c r="D8" s="15" t="n">
        <v>770</v>
      </c>
      <c r="E8" s="17" t="n">
        <v>632</v>
      </c>
    </row>
    <row r="9">
      <c r="A9" s="5" t="inlineStr">
        <is>
          <t>2  Incident (L2)</t>
        </is>
      </c>
      <c r="B9" s="15" t="n">
        <v>1157</v>
      </c>
      <c r="C9" s="15" t="n">
        <v>307</v>
      </c>
      <c r="D9" s="15" t="n">
        <v>260</v>
      </c>
      <c r="E9" s="17" t="n">
        <v>231</v>
      </c>
    </row>
    <row r="10">
      <c r="A10" s="5" t="inlineStr">
        <is>
          <t>3  Finance (L2)</t>
        </is>
      </c>
      <c r="B10" s="15" t="n">
        <v>1157</v>
      </c>
      <c r="C10" s="15" t="n">
        <v>141</v>
      </c>
      <c r="D10" s="15" t="n">
        <v>43</v>
      </c>
      <c r="E10" s="17" t="n">
        <v>41</v>
      </c>
    </row>
    <row r="11">
      <c r="A11" s="5" t="inlineStr">
        <is>
          <t>4  Research (L1)</t>
        </is>
      </c>
      <c r="B11" s="15" t="n">
        <v>1157</v>
      </c>
      <c r="C11" s="15" t="n">
        <v>63</v>
      </c>
      <c r="D11" s="15" t="n">
        <v>63</v>
      </c>
      <c r="E11" s="17" t="n">
        <v>22</v>
      </c>
    </row>
    <row r="12">
      <c r="A12" s="5" t="inlineStr">
        <is>
          <t>5  Gateway (L3)</t>
        </is>
      </c>
      <c r="B12" s="15" t="n">
        <v>1157</v>
      </c>
      <c r="C12" s="15" t="n">
        <v>628</v>
      </c>
      <c r="D12" s="15" t="n">
        <v>616</v>
      </c>
      <c r="E12" s="17" t="n">
        <v>487</v>
      </c>
    </row>
    <row r="13">
      <c r="A13" s="5" t="inlineStr">
        <is>
          <t>6  Security (L3)</t>
        </is>
      </c>
      <c r="B13" s="15" t="n">
        <v>1157</v>
      </c>
      <c r="C13" s="15" t="n">
        <v>510</v>
      </c>
      <c r="D13" s="15" t="n">
        <v>454</v>
      </c>
      <c r="E13" s="17" t="n">
        <v>367</v>
      </c>
    </row>
    <row r="14">
      <c r="A14" s="18" t="inlineStr">
        <is>
          <t>TOTAL</t>
        </is>
      </c>
      <c r="B14" s="19" t="n">
        <v>6942</v>
      </c>
      <c r="C14" s="19" t="n">
        <v>2419</v>
      </c>
      <c r="D14" s="19" t="n">
        <v>2206</v>
      </c>
      <c r="E14" s="19" t="n">
        <v>1780</v>
      </c>
    </row>
    <row r="16" ht="26" customHeight="1">
      <c r="A16" s="3" t="inlineStr">
        <is>
          <t>VALIDATION  -  include wrong/null tools  (the LLM rejects all incorrect ones)</t>
        </is>
      </c>
    </row>
    <row r="17" ht="24" customHeight="1">
      <c r="A17" s="2" t="inlineStr">
        <is>
          <t>Floor over all 1,157 candidate bundles/persona. Gates: RBAC -&gt; ABAC -&gt; LLM -&gt; TRAC. LLM column = oracle reject-all-incorrect (model-independent best case); TRAC then finishes.</t>
        </is>
      </c>
    </row>
    <row r="18">
      <c r="A18" s="8" t="inlineStr">
        <is>
          <t>persona</t>
        </is>
      </c>
      <c r="B18" s="8" t="inlineStr">
        <is>
          <t>total</t>
        </is>
      </c>
      <c r="C18" s="8" t="inlineStr">
        <is>
          <t>RBAC</t>
        </is>
      </c>
      <c r="D18" s="8" t="inlineStr">
        <is>
          <t>ABAC</t>
        </is>
      </c>
      <c r="E18" s="8" t="inlineStr">
        <is>
          <t>LLM validation</t>
        </is>
      </c>
      <c r="F18" s="8" t="inlineStr">
        <is>
          <t>TRAC</t>
        </is>
      </c>
    </row>
    <row r="19">
      <c r="A19" s="5" t="inlineStr">
        <is>
          <t>1  DevOps (L3)</t>
        </is>
      </c>
      <c r="B19" s="15" t="n">
        <v>1157</v>
      </c>
      <c r="C19" s="15" t="n">
        <v>748</v>
      </c>
      <c r="D19" s="15" t="n">
        <v>748</v>
      </c>
      <c r="E19" s="15" t="n">
        <v>384</v>
      </c>
      <c r="F19" s="17" t="n">
        <v>314</v>
      </c>
    </row>
    <row r="20">
      <c r="A20" s="5" t="inlineStr">
        <is>
          <t>2  Incident (L2)</t>
        </is>
      </c>
      <c r="B20" s="15" t="n">
        <v>1157</v>
      </c>
      <c r="C20" s="15" t="n">
        <v>303</v>
      </c>
      <c r="D20" s="15" t="n">
        <v>254</v>
      </c>
      <c r="E20" s="15" t="n">
        <v>129</v>
      </c>
      <c r="F20" s="17" t="n">
        <v>114</v>
      </c>
    </row>
    <row r="21">
      <c r="A21" s="5" t="inlineStr">
        <is>
          <t>3  Finance (L2)</t>
        </is>
      </c>
      <c r="B21" s="15" t="n">
        <v>1157</v>
      </c>
      <c r="C21" s="15" t="n">
        <v>124</v>
      </c>
      <c r="D21" s="15" t="n">
        <v>37</v>
      </c>
      <c r="E21" s="15" t="n">
        <v>21</v>
      </c>
      <c r="F21" s="17" t="n">
        <v>20</v>
      </c>
    </row>
    <row r="22">
      <c r="A22" s="5" t="inlineStr">
        <is>
          <t>4  Research (L1)</t>
        </is>
      </c>
      <c r="B22" s="15" t="n">
        <v>1157</v>
      </c>
      <c r="C22" s="15" t="n">
        <v>78</v>
      </c>
      <c r="D22" s="15" t="n">
        <v>78</v>
      </c>
      <c r="E22" s="15" t="n">
        <v>30</v>
      </c>
      <c r="F22" s="17" t="n">
        <v>11</v>
      </c>
    </row>
    <row r="23">
      <c r="A23" s="5" t="inlineStr">
        <is>
          <t>5  Gateway (L3)</t>
        </is>
      </c>
      <c r="B23" s="15" t="n">
        <v>1157</v>
      </c>
      <c r="C23" s="15" t="n">
        <v>639</v>
      </c>
      <c r="D23" s="15" t="n">
        <v>627</v>
      </c>
      <c r="E23" s="15" t="n">
        <v>306</v>
      </c>
      <c r="F23" s="17" t="n">
        <v>242</v>
      </c>
    </row>
    <row r="24">
      <c r="A24" s="5" t="inlineStr">
        <is>
          <t>6  Security (L3)</t>
        </is>
      </c>
      <c r="B24" s="15" t="n">
        <v>1157</v>
      </c>
      <c r="C24" s="15" t="n">
        <v>514</v>
      </c>
      <c r="D24" s="15" t="n">
        <v>462</v>
      </c>
      <c r="E24" s="15" t="n">
        <v>228</v>
      </c>
      <c r="F24" s="17" t="n">
        <v>185</v>
      </c>
    </row>
    <row r="25">
      <c r="A25" s="18" t="inlineStr">
        <is>
          <t>TOTAL</t>
        </is>
      </c>
      <c r="B25" s="19" t="n">
        <v>6942</v>
      </c>
      <c r="C25" s="19" t="n">
        <v>2406</v>
      </c>
      <c r="D25" s="19" t="n">
        <v>2206</v>
      </c>
      <c r="E25" s="19" t="n">
        <v>1098</v>
      </c>
      <c r="F25" s="19" t="n">
        <v>886</v>
      </c>
    </row>
  </sheetData>
  <mergeCells count="6">
    <mergeCell ref="A2:F2"/>
    <mergeCell ref="A16:F16"/>
    <mergeCell ref="A5:E5"/>
    <mergeCell ref="A17:F17"/>
    <mergeCell ref="A3:F3"/>
    <mergeCell ref="A6:E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0" customWidth="1" min="7" max="7"/>
    <col width="10" customWidth="1" min="8" max="8"/>
  </cols>
  <sheetData>
    <row r="1">
      <c r="A1" s="1" t="inlineStr">
        <is>
          <t>5.2 - The LLM alone  (no policy layers)</t>
        </is>
      </c>
    </row>
    <row r="2" ht="28" customHeight="1">
      <c r="A2" s="2" t="inlineStr">
        <is>
          <t>The model as a standalone admission controller. No RBAC/ABAC/TRAC in the loop - this is the raw LLM, the baseline the deterministic floor (5.1) is meant to repair.</t>
        </is>
      </c>
    </row>
    <row r="4" ht="26" customHeight="1">
      <c r="A4" s="3" t="inlineStr">
        <is>
          <t>VALIDATION  -  the LLM JUDGES a candidate bundle  (Convention B; n = 1,157 tasks)</t>
        </is>
      </c>
    </row>
    <row r="5" ht="24" customHeight="1">
      <c r="A5" s="2" t="inlineStr">
        <is>
          <t>Positive = valid (match_tag = correct); the model's admit/deny verdict is scored against it. Persona-invariant, so 1,157 not 6,942. Highlighted R = model carried forward (best recall).</t>
        </is>
      </c>
    </row>
    <row r="6">
      <c r="A6" s="8" t="inlineStr">
        <is>
          <t>model</t>
        </is>
      </c>
      <c r="B6" s="8" t="inlineStr">
        <is>
          <t>P</t>
        </is>
      </c>
      <c r="C6" s="8" t="inlineStr">
        <is>
          <t>R</t>
        </is>
      </c>
      <c r="D6" s="8" t="inlineStr">
        <is>
          <t>F1</t>
        </is>
      </c>
      <c r="E6" s="8" t="inlineStr">
        <is>
          <t>Acc</t>
        </is>
      </c>
    </row>
    <row r="7">
      <c r="A7" s="5" t="inlineStr">
        <is>
          <t>llm1  gpt-3.5-turbo-16k</t>
        </is>
      </c>
      <c r="B7" s="15" t="inlineStr">
        <is>
          <t>0.705</t>
        </is>
      </c>
      <c r="C7" s="15" t="inlineStr">
        <is>
          <t>0.815</t>
        </is>
      </c>
      <c r="D7" s="15" t="inlineStr">
        <is>
          <t>0.756</t>
        </is>
      </c>
      <c r="E7" s="15" t="inlineStr">
        <is>
          <t>0.736</t>
        </is>
      </c>
    </row>
    <row r="8">
      <c r="A8" s="5" t="inlineStr">
        <is>
          <t>llm2  gpt-4o</t>
        </is>
      </c>
      <c r="B8" s="15" t="inlineStr">
        <is>
          <t>0.740</t>
        </is>
      </c>
      <c r="C8" s="15" t="inlineStr">
        <is>
          <t>0.497</t>
        </is>
      </c>
      <c r="D8" s="15" t="inlineStr">
        <is>
          <t>0.595</t>
        </is>
      </c>
      <c r="E8" s="15" t="inlineStr">
        <is>
          <t>0.661</t>
        </is>
      </c>
    </row>
    <row r="9">
      <c r="A9" s="5" t="inlineStr">
        <is>
          <t>llm3  gpt-5.4</t>
        </is>
      </c>
      <c r="B9" s="15" t="inlineStr">
        <is>
          <t>0.583</t>
        </is>
      </c>
      <c r="C9" s="15" t="inlineStr">
        <is>
          <t>0.839</t>
        </is>
      </c>
      <c r="D9" s="15" t="inlineStr">
        <is>
          <t>0.688</t>
        </is>
      </c>
      <c r="E9" s="15" t="inlineStr">
        <is>
          <t>0.620</t>
        </is>
      </c>
    </row>
    <row r="10">
      <c r="A10" s="5" t="inlineStr">
        <is>
          <t>llm4  claude-opus-4.8</t>
        </is>
      </c>
      <c r="B10" s="15" t="inlineStr">
        <is>
          <t>0.772</t>
        </is>
      </c>
      <c r="C10" s="11" t="inlineStr">
        <is>
          <t>0.971</t>
        </is>
      </c>
      <c r="D10" s="15" t="inlineStr">
        <is>
          <t>0.860</t>
        </is>
      </c>
      <c r="E10" s="15" t="inlineStr">
        <is>
          <t>0.842</t>
        </is>
      </c>
    </row>
    <row r="11">
      <c r="A11" s="5" t="inlineStr">
        <is>
          <t>llm5  claude-sonnet-4.6</t>
        </is>
      </c>
      <c r="B11" s="15" t="inlineStr">
        <is>
          <t>0.748</t>
        </is>
      </c>
      <c r="C11" s="15" t="inlineStr">
        <is>
          <t>0.964</t>
        </is>
      </c>
      <c r="D11" s="15" t="inlineStr">
        <is>
          <t>0.842</t>
        </is>
      </c>
      <c r="E11" s="15" t="inlineStr">
        <is>
          <t>0.819</t>
        </is>
      </c>
    </row>
    <row r="12">
      <c r="A12" s="5" t="inlineStr">
        <is>
          <t>llm6  gemini-2.5-pro</t>
        </is>
      </c>
      <c r="B12" s="15" t="inlineStr">
        <is>
          <t>0.666</t>
        </is>
      </c>
      <c r="C12" s="15" t="inlineStr">
        <is>
          <t>0.962</t>
        </is>
      </c>
      <c r="D12" s="15" t="inlineStr">
        <is>
          <t>0.787</t>
        </is>
      </c>
      <c r="E12" s="15" t="inlineStr">
        <is>
          <t>0.740</t>
        </is>
      </c>
    </row>
    <row r="13" ht="22" customHeight="1">
      <c r="A13" s="2" t="inlineStr">
        <is>
          <t>Best recall (availability): llm4 claude-opus-4.8 at R = 0.971  - this is the model reused in the later full-composition tables.</t>
        </is>
      </c>
    </row>
    <row r="15" ht="26" customHeight="1">
      <c r="A15" s="3" t="inlineStr">
        <is>
          <t>SELECTION  -  the LLM GENERATES the bundle  (tool recovery; full corpus, n = 1,157 tasks)</t>
        </is>
      </c>
    </row>
    <row r="16" ht="24" customHeight="1">
      <c r="A16" s="2" t="inlineStr">
        <is>
          <t>How many of each task's 3 groundtruth tools the model selects, over all 1,157 tasks. Buckets sum to 1,157. Exact = all-3 match; Jaccard = graded overlap.</t>
        </is>
      </c>
    </row>
    <row r="17">
      <c r="A17" s="8" t="inlineStr">
        <is>
          <t>model</t>
        </is>
      </c>
      <c r="B17" s="8" t="inlineStr">
        <is>
          <t>3/3</t>
        </is>
      </c>
      <c r="C17" s="8" t="inlineStr">
        <is>
          <t>2/3</t>
        </is>
      </c>
      <c r="D17" s="8" t="inlineStr">
        <is>
          <t>1/3</t>
        </is>
      </c>
      <c r="E17" s="8" t="inlineStr">
        <is>
          <t>0/3</t>
        </is>
      </c>
      <c r="F17" s="8" t="inlineStr">
        <is>
          <t>Exact %</t>
        </is>
      </c>
      <c r="G17" s="8" t="inlineStr">
        <is>
          <t>Jaccard</t>
        </is>
      </c>
    </row>
    <row r="18">
      <c r="A18" s="5" t="inlineStr">
        <is>
          <t>llm1  gpt-3.5-turbo-16k</t>
        </is>
      </c>
      <c r="B18" s="20" t="inlineStr">
        <is>
          <t>n/a - context-limited (~21k-token prompt &gt; 16,385 ctx)</t>
        </is>
      </c>
      <c r="C18" s="6" t="n"/>
      <c r="D18" s="6" t="n"/>
      <c r="E18" s="6" t="n"/>
      <c r="F18" s="6" t="n"/>
      <c r="G18" s="7" t="n"/>
    </row>
    <row r="19">
      <c r="A19" s="5" t="inlineStr">
        <is>
          <t>llm2  gpt-4o</t>
        </is>
      </c>
      <c r="B19" s="17" t="n">
        <v>52</v>
      </c>
      <c r="C19" s="15" t="n">
        <v>189</v>
      </c>
      <c r="D19" s="15" t="n">
        <v>304</v>
      </c>
      <c r="E19" s="15" t="n">
        <v>612</v>
      </c>
      <c r="F19" s="15" t="inlineStr">
        <is>
          <t>4.5%</t>
        </is>
      </c>
      <c r="G19" s="15" t="inlineStr">
        <is>
          <t>0.179</t>
        </is>
      </c>
    </row>
    <row r="20">
      <c r="A20" s="5" t="inlineStr">
        <is>
          <t>llm3  gpt-5.4</t>
        </is>
      </c>
      <c r="B20" s="17" t="n">
        <v>66</v>
      </c>
      <c r="C20" s="15" t="n">
        <v>206</v>
      </c>
      <c r="D20" s="15" t="n">
        <v>292</v>
      </c>
      <c r="E20" s="15" t="n">
        <v>593</v>
      </c>
      <c r="F20" s="15" t="inlineStr">
        <is>
          <t>5.7%</t>
        </is>
      </c>
      <c r="G20" s="15" t="inlineStr">
        <is>
          <t>0.197</t>
        </is>
      </c>
    </row>
    <row r="21">
      <c r="A21" s="5" t="inlineStr">
        <is>
          <t>llm4  claude-opus-4.8</t>
        </is>
      </c>
      <c r="B21" s="17" t="n">
        <v>109</v>
      </c>
      <c r="C21" s="15" t="n">
        <v>228</v>
      </c>
      <c r="D21" s="15" t="n">
        <v>260</v>
      </c>
      <c r="E21" s="15" t="n">
        <v>560</v>
      </c>
      <c r="F21" s="15" t="inlineStr">
        <is>
          <t>9.4%</t>
        </is>
      </c>
      <c r="G21" s="15" t="inlineStr">
        <is>
          <t>0.238</t>
        </is>
      </c>
    </row>
    <row r="22">
      <c r="A22" s="5" t="inlineStr">
        <is>
          <t>llm5  claude-sonnet-4.6</t>
        </is>
      </c>
      <c r="B22" s="17" t="n">
        <v>93</v>
      </c>
      <c r="C22" s="15" t="n">
        <v>221</v>
      </c>
      <c r="D22" s="15" t="n">
        <v>290</v>
      </c>
      <c r="E22" s="15" t="n">
        <v>553</v>
      </c>
      <c r="F22" s="15" t="inlineStr">
        <is>
          <t>8.0%</t>
        </is>
      </c>
      <c r="G22" s="15" t="inlineStr">
        <is>
          <t>0.226</t>
        </is>
      </c>
    </row>
    <row r="23">
      <c r="A23" s="5" t="inlineStr">
        <is>
          <t>llm6  gemini-2.5-pro</t>
        </is>
      </c>
      <c r="B23" s="17" t="n">
        <v>28</v>
      </c>
      <c r="C23" s="15" t="n">
        <v>104</v>
      </c>
      <c r="D23" s="15" t="n">
        <v>274</v>
      </c>
      <c r="E23" s="15" t="n">
        <v>751</v>
      </c>
      <c r="F23" s="15" t="inlineStr">
        <is>
          <t>2.4%</t>
        </is>
      </c>
      <c r="G23" s="15" t="inlineStr">
        <is>
          <t>0.117</t>
        </is>
      </c>
    </row>
    <row r="24" ht="24" customHeight="1">
      <c r="A24" s="2" t="inlineStr">
        <is>
          <t>gpt-3.5-turbo-16k selection is n/a: the full-catalog prompt (~21k tokens) exceeds its 16,385-token context, so it returns no bundle - a concrete motivator for capability-aware scoping (its validation row is unaffected). gemini-2.5-pro ran in-environment (batched proxy); every other model's selection run is complete over all 1,157 tasks. Newer models select best (opus &gt; sonnet &gt; gpt-5.4 &gt; gpt-4o &gt; gemini).</t>
        </is>
      </c>
    </row>
  </sheetData>
  <mergeCells count="8">
    <mergeCell ref="A13:G13"/>
    <mergeCell ref="A4:G4"/>
    <mergeCell ref="A24:G24"/>
    <mergeCell ref="A2:G2"/>
    <mergeCell ref="A16:G16"/>
    <mergeCell ref="A15:G15"/>
    <mergeCell ref="B18:G18"/>
    <mergeCell ref="A5:G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15" customWidth="1" min="5" max="5"/>
    <col width="9" customWidth="1" min="6" max="6"/>
  </cols>
  <sheetData>
    <row r="1">
      <c r="A1" s="1" t="inlineStr">
        <is>
          <t>5.3 - The Whole Flow (model-DEPENDENT: claude-opus-4.8)  -  3-tool set</t>
        </is>
      </c>
    </row>
    <row r="2" ht="40" customHeight="1">
      <c r="A2" s="2" t="inlineStr">
        <is>
          <t>Full PALADIN pipeline with the real LLM (claude-opus-4.8) in the loop, per persona. Survivor funnels: each cell = requests STILL ADMITTED after that cumulative gate. Unlike 5.1 (dataset bundles, identical for every model), 5.3 replays the actual claude-opus-4.8 logs.</t>
        </is>
      </c>
    </row>
    <row r="3">
      <c r="A3" s="2" t="inlineStr">
        <is>
          <t>replay fidelity: validation 1.0, selection 1.0  ·  validation log 20260708132606_claude-opus-4-8_validation.json  ·  selection log 20260708204822_claude-opus-4-8_selection.json</t>
        </is>
      </c>
    </row>
    <row r="5" ht="26" customHeight="1">
      <c r="A5" s="3" t="inlineStr">
        <is>
          <t>VALIDATION  -  ONLY on incorrect tasks  (wrong/null candidate bundles that SHOULD be denied)</t>
        </is>
      </c>
    </row>
    <row r="6" ht="24" customHeight="1">
      <c r="A6" s="2" t="inlineStr">
        <is>
          <t>Real claude-opus-4.8 in series: RBAC -&gt; ABAC -&gt; LLM(claude-opus-4.8 verdict) -&gt; TRAC. Each cell = incorrect bundles STILL ADMITTED after that gate (LOWER = better; final TRAC col = bad bundles that leak past the full stack). 578 incorrect tasks/persona (463 wrong + 115 null).</t>
        </is>
      </c>
    </row>
    <row r="7">
      <c r="A7" s="8" t="inlineStr">
        <is>
          <t>persona</t>
        </is>
      </c>
      <c r="B7" s="8" t="inlineStr">
        <is>
          <t>total</t>
        </is>
      </c>
      <c r="C7" s="8" t="inlineStr">
        <is>
          <t>RBAC</t>
        </is>
      </c>
      <c r="D7" s="8" t="inlineStr">
        <is>
          <t>ABAC</t>
        </is>
      </c>
      <c r="E7" s="8" t="inlineStr">
        <is>
          <t>LLM validation</t>
        </is>
      </c>
      <c r="F7" s="8" t="inlineStr">
        <is>
          <t>TRAC</t>
        </is>
      </c>
    </row>
    <row r="8">
      <c r="A8" s="5" t="inlineStr">
        <is>
          <t>1  DevOps (L3)</t>
        </is>
      </c>
      <c r="B8" s="15" t="n">
        <v>578</v>
      </c>
      <c r="C8" s="15" t="n">
        <v>364</v>
      </c>
      <c r="D8" s="15" t="n">
        <v>364</v>
      </c>
      <c r="E8" s="15" t="n">
        <v>98</v>
      </c>
      <c r="F8" s="17" t="n">
        <v>55</v>
      </c>
    </row>
    <row r="9">
      <c r="A9" s="5" t="inlineStr">
        <is>
          <t>2  Incident (L2)</t>
        </is>
      </c>
      <c r="B9" s="15" t="n">
        <v>578</v>
      </c>
      <c r="C9" s="15" t="n">
        <v>150</v>
      </c>
      <c r="D9" s="15" t="n">
        <v>125</v>
      </c>
      <c r="E9" s="15" t="n">
        <v>45</v>
      </c>
      <c r="F9" s="17" t="n">
        <v>26</v>
      </c>
    </row>
    <row r="10">
      <c r="A10" s="5" t="inlineStr">
        <is>
          <t>3  Finance (L2)</t>
        </is>
      </c>
      <c r="B10" s="15" t="n">
        <v>578</v>
      </c>
      <c r="C10" s="15" t="n">
        <v>52</v>
      </c>
      <c r="D10" s="15" t="n">
        <v>16</v>
      </c>
      <c r="E10" s="15" t="n">
        <v>3</v>
      </c>
      <c r="F10" s="17" t="n">
        <v>3</v>
      </c>
    </row>
    <row r="11">
      <c r="A11" s="5" t="inlineStr">
        <is>
          <t>4  Research (L1)</t>
        </is>
      </c>
      <c r="B11" s="15" t="n">
        <v>578</v>
      </c>
      <c r="C11" s="15" t="n">
        <v>48</v>
      </c>
      <c r="D11" s="15" t="n">
        <v>48</v>
      </c>
      <c r="E11" s="15" t="n">
        <v>23</v>
      </c>
      <c r="F11" s="17" t="n">
        <v>7</v>
      </c>
    </row>
    <row r="12">
      <c r="A12" s="5" t="inlineStr">
        <is>
          <t>5  Gateway (L3)</t>
        </is>
      </c>
      <c r="B12" s="15" t="n">
        <v>578</v>
      </c>
      <c r="C12" s="15" t="n">
        <v>327</v>
      </c>
      <c r="D12" s="15" t="n">
        <v>321</v>
      </c>
      <c r="E12" s="15" t="n">
        <v>109</v>
      </c>
      <c r="F12" s="17" t="n">
        <v>56</v>
      </c>
    </row>
    <row r="13">
      <c r="A13" s="5" t="inlineStr">
        <is>
          <t>6  Security (L3)</t>
        </is>
      </c>
      <c r="B13" s="15" t="n">
        <v>578</v>
      </c>
      <c r="C13" s="15" t="n">
        <v>259</v>
      </c>
      <c r="D13" s="15" t="n">
        <v>234</v>
      </c>
      <c r="E13" s="15" t="n">
        <v>94</v>
      </c>
      <c r="F13" s="17" t="n">
        <v>51</v>
      </c>
    </row>
    <row r="14">
      <c r="A14" s="18" t="inlineStr">
        <is>
          <t>TOTAL</t>
        </is>
      </c>
      <c r="B14" s="19" t="n">
        <v>3468</v>
      </c>
      <c r="C14" s="19" t="n">
        <v>1200</v>
      </c>
      <c r="D14" s="19" t="n">
        <v>1108</v>
      </c>
      <c r="E14" s="19" t="n">
        <v>372</v>
      </c>
      <c r="F14" s="19" t="n">
        <v>198</v>
      </c>
    </row>
    <row r="16" ht="26" customHeight="1">
      <c r="A16" s="3" t="inlineStr">
        <is>
          <t>SELECTION  -  ONLY on wrong/null tasks  (claude-opus-4.8's own picks on incorrect candidate bundles)</t>
        </is>
      </c>
    </row>
    <row r="17" ht="24" customHeight="1">
      <c r="A17" s="2" t="inlineStr">
        <is>
          <t>Gates RBAC -&gt; ABAC -&gt; TRAC (no LLM gate: in selection the model IS the requester). Each cell = claude-opus-4.8's own tool picks STILL ADMITTED after that gate. Restricted to the wrong/null (incorrect) tasks, matching Table 1's subset (LOWER = better).  Complete run: 578/578 incorrect tasks/persona (463 wrong + 115 null).</t>
        </is>
      </c>
    </row>
    <row r="18">
      <c r="A18" s="8" t="inlineStr">
        <is>
          <t>persona</t>
        </is>
      </c>
      <c r="B18" s="8" t="inlineStr">
        <is>
          <t>total</t>
        </is>
      </c>
      <c r="C18" s="8" t="inlineStr">
        <is>
          <t>RBAC</t>
        </is>
      </c>
      <c r="D18" s="8" t="inlineStr">
        <is>
          <t>ABAC</t>
        </is>
      </c>
      <c r="E18" s="8" t="inlineStr">
        <is>
          <t>TRAC</t>
        </is>
      </c>
    </row>
    <row r="19">
      <c r="A19" s="5" t="inlineStr">
        <is>
          <t>1  DevOps (L3)</t>
        </is>
      </c>
      <c r="B19" s="15" t="n">
        <v>578</v>
      </c>
      <c r="C19" s="15" t="n">
        <v>383</v>
      </c>
      <c r="D19" s="15" t="n">
        <v>383</v>
      </c>
      <c r="E19" s="17" t="n">
        <v>316</v>
      </c>
    </row>
    <row r="20">
      <c r="A20" s="5" t="inlineStr">
        <is>
          <t>2  Incident (L2)</t>
        </is>
      </c>
      <c r="B20" s="15" t="n">
        <v>578</v>
      </c>
      <c r="C20" s="15" t="n">
        <v>179</v>
      </c>
      <c r="D20" s="15" t="n">
        <v>155</v>
      </c>
      <c r="E20" s="17" t="n">
        <v>132</v>
      </c>
    </row>
    <row r="21">
      <c r="A21" s="5" t="inlineStr">
        <is>
          <t>3  Finance (L2)</t>
        </is>
      </c>
      <c r="B21" s="15" t="n">
        <v>578</v>
      </c>
      <c r="C21" s="15" t="n">
        <v>81</v>
      </c>
      <c r="D21" s="15" t="n">
        <v>49</v>
      </c>
      <c r="E21" s="17" t="n">
        <v>43</v>
      </c>
    </row>
    <row r="22">
      <c r="A22" s="5" t="inlineStr">
        <is>
          <t>4  Research (L1)</t>
        </is>
      </c>
      <c r="B22" s="15" t="n">
        <v>578</v>
      </c>
      <c r="C22" s="15" t="n">
        <v>32</v>
      </c>
      <c r="D22" s="15" t="n">
        <v>32</v>
      </c>
      <c r="E22" s="17" t="n">
        <v>11</v>
      </c>
    </row>
    <row r="23">
      <c r="A23" s="5" t="inlineStr">
        <is>
          <t>5  Gateway (L3)</t>
        </is>
      </c>
      <c r="B23" s="15" t="n">
        <v>578</v>
      </c>
      <c r="C23" s="15" t="n">
        <v>367</v>
      </c>
      <c r="D23" s="15" t="n">
        <v>342</v>
      </c>
      <c r="E23" s="17" t="n">
        <v>266</v>
      </c>
    </row>
    <row r="24">
      <c r="A24" s="5" t="inlineStr">
        <is>
          <t>6  Security (L3)</t>
        </is>
      </c>
      <c r="B24" s="15" t="n">
        <v>578</v>
      </c>
      <c r="C24" s="15" t="n">
        <v>320</v>
      </c>
      <c r="D24" s="15" t="n">
        <v>282</v>
      </c>
      <c r="E24" s="17" t="n">
        <v>227</v>
      </c>
    </row>
    <row r="25">
      <c r="A25" s="18" t="inlineStr">
        <is>
          <t>TOTAL</t>
        </is>
      </c>
      <c r="B25" s="19" t="n">
        <v>3468</v>
      </c>
      <c r="C25" s="19" t="n">
        <v>1362</v>
      </c>
      <c r="D25" s="19" t="n">
        <v>1243</v>
      </c>
      <c r="E25" s="19" t="n">
        <v>995</v>
      </c>
    </row>
  </sheetData>
  <mergeCells count="6">
    <mergeCell ref="A2:F2"/>
    <mergeCell ref="A16:E16"/>
    <mergeCell ref="A5:F5"/>
    <mergeCell ref="A6:F6"/>
    <mergeCell ref="A3:F3"/>
    <mergeCell ref="A17:E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15" customWidth="1" min="5" max="5"/>
    <col width="9" customWidth="1" min="6" max="6"/>
  </cols>
  <sheetData>
    <row r="1">
      <c r="A1" s="1" t="inlineStr">
        <is>
          <t>5.3B - The Whole Flow (model-DEPENDENT: gpt-4o)  -  3-tool set</t>
        </is>
      </c>
    </row>
    <row r="2" ht="40" customHeight="1">
      <c r="A2" s="2" t="inlineStr">
        <is>
          <t>Full PALADIN pipeline with the real LLM (gpt-4o) in the loop, per persona. Survivor funnels: each cell = requests STILL ADMITTED after that cumulative gate. Unlike 5.1 (dataset bundles, identical for every model), 5.3B replays the actual gpt-4o logs.</t>
        </is>
      </c>
    </row>
    <row r="3">
      <c r="A3" s="2" t="inlineStr">
        <is>
          <t>replay fidelity: validation 1.0, selection 1.0  ·  validation log 20260613005419_gpt-4o_validation.json  ·  selection log 20260528110031_gpt-4o_selection.json</t>
        </is>
      </c>
    </row>
    <row r="5" ht="26" customHeight="1">
      <c r="A5" s="3" t="inlineStr">
        <is>
          <t>VALIDATION  -  ONLY on incorrect tasks  (wrong/null candidate bundles that SHOULD be denied)</t>
        </is>
      </c>
    </row>
    <row r="6" ht="24" customHeight="1">
      <c r="A6" s="2" t="inlineStr">
        <is>
          <t>Real gpt-4o in series: RBAC -&gt; ABAC -&gt; LLM(gpt-4o verdict) -&gt; TRAC. Each cell = incorrect bundles STILL ADMITTED after that gate (LOWER = better; final TRAC col = bad bundles that leak past the full stack). 578 incorrect tasks/persona (463 wrong + 115 null).</t>
        </is>
      </c>
    </row>
    <row r="7">
      <c r="A7" s="8" t="inlineStr">
        <is>
          <t>persona</t>
        </is>
      </c>
      <c r="B7" s="8" t="inlineStr">
        <is>
          <t>total</t>
        </is>
      </c>
      <c r="C7" s="8" t="inlineStr">
        <is>
          <t>RBAC</t>
        </is>
      </c>
      <c r="D7" s="8" t="inlineStr">
        <is>
          <t>ABAC</t>
        </is>
      </c>
      <c r="E7" s="8" t="inlineStr">
        <is>
          <t>LLM validation</t>
        </is>
      </c>
      <c r="F7" s="8" t="inlineStr">
        <is>
          <t>TRAC</t>
        </is>
      </c>
    </row>
    <row r="8">
      <c r="A8" s="5" t="inlineStr">
        <is>
          <t>1  DevOps (L3)</t>
        </is>
      </c>
      <c r="B8" s="15" t="n">
        <v>578</v>
      </c>
      <c r="C8" s="15" t="n">
        <v>364</v>
      </c>
      <c r="D8" s="15" t="n">
        <v>364</v>
      </c>
      <c r="E8" s="15" t="n">
        <v>66</v>
      </c>
      <c r="F8" s="17" t="n">
        <v>34</v>
      </c>
    </row>
    <row r="9">
      <c r="A9" s="5" t="inlineStr">
        <is>
          <t>2  Incident (L2)</t>
        </is>
      </c>
      <c r="B9" s="15" t="n">
        <v>578</v>
      </c>
      <c r="C9" s="15" t="n">
        <v>150</v>
      </c>
      <c r="D9" s="15" t="n">
        <v>125</v>
      </c>
      <c r="E9" s="15" t="n">
        <v>33</v>
      </c>
      <c r="F9" s="17" t="n">
        <v>16</v>
      </c>
    </row>
    <row r="10">
      <c r="A10" s="5" t="inlineStr">
        <is>
          <t>3  Finance (L2)</t>
        </is>
      </c>
      <c r="B10" s="15" t="n">
        <v>578</v>
      </c>
      <c r="C10" s="15" t="n">
        <v>52</v>
      </c>
      <c r="D10" s="15" t="n">
        <v>16</v>
      </c>
      <c r="E10" s="15" t="n">
        <v>2</v>
      </c>
      <c r="F10" s="17" t="n">
        <v>1</v>
      </c>
    </row>
    <row r="11">
      <c r="A11" s="5" t="inlineStr">
        <is>
          <t>4  Research (L1)</t>
        </is>
      </c>
      <c r="B11" s="15" t="n">
        <v>578</v>
      </c>
      <c r="C11" s="15" t="n">
        <v>48</v>
      </c>
      <c r="D11" s="15" t="n">
        <v>48</v>
      </c>
      <c r="E11" s="15" t="n">
        <v>7</v>
      </c>
      <c r="F11" s="17" t="n">
        <v>2</v>
      </c>
    </row>
    <row r="12">
      <c r="A12" s="5" t="inlineStr">
        <is>
          <t>5  Gateway (L3)</t>
        </is>
      </c>
      <c r="B12" s="15" t="n">
        <v>578</v>
      </c>
      <c r="C12" s="15" t="n">
        <v>327</v>
      </c>
      <c r="D12" s="15" t="n">
        <v>321</v>
      </c>
      <c r="E12" s="15" t="n">
        <v>63</v>
      </c>
      <c r="F12" s="17" t="n">
        <v>31</v>
      </c>
    </row>
    <row r="13">
      <c r="A13" s="5" t="inlineStr">
        <is>
          <t>6  Security (L3)</t>
        </is>
      </c>
      <c r="B13" s="15" t="n">
        <v>578</v>
      </c>
      <c r="C13" s="15" t="n">
        <v>259</v>
      </c>
      <c r="D13" s="15" t="n">
        <v>234</v>
      </c>
      <c r="E13" s="15" t="n">
        <v>45</v>
      </c>
      <c r="F13" s="17" t="n">
        <v>21</v>
      </c>
    </row>
    <row r="14">
      <c r="A14" s="18" t="inlineStr">
        <is>
          <t>TOTAL</t>
        </is>
      </c>
      <c r="B14" s="19" t="n">
        <v>3468</v>
      </c>
      <c r="C14" s="19" t="n">
        <v>1200</v>
      </c>
      <c r="D14" s="19" t="n">
        <v>1108</v>
      </c>
      <c r="E14" s="19" t="n">
        <v>216</v>
      </c>
      <c r="F14" s="19" t="n">
        <v>105</v>
      </c>
    </row>
    <row r="16" ht="26" customHeight="1">
      <c r="A16" s="3" t="inlineStr">
        <is>
          <t>SELECTION  -  ONLY on wrong/null tasks  (gpt-4o's own picks on incorrect candidate bundles)</t>
        </is>
      </c>
    </row>
    <row r="17" ht="24" customHeight="1">
      <c r="A17" s="2" t="inlineStr">
        <is>
          <t>Gates RBAC -&gt; ABAC -&gt; TRAC (no LLM gate: in selection the model IS the requester). Each cell = gpt-4o's own tool picks STILL ADMITTED after that gate. Restricted to the wrong/null (incorrect) tasks, matching Table 1's subset (LOWER = better).  Complete run: 578/578 incorrect tasks/persona (463 wrong + 115 null).</t>
        </is>
      </c>
    </row>
    <row r="18">
      <c r="A18" s="8" t="inlineStr">
        <is>
          <t>persona</t>
        </is>
      </c>
      <c r="B18" s="8" t="inlineStr">
        <is>
          <t>total</t>
        </is>
      </c>
      <c r="C18" s="8" t="inlineStr">
        <is>
          <t>RBAC</t>
        </is>
      </c>
      <c r="D18" s="8" t="inlineStr">
        <is>
          <t>ABAC</t>
        </is>
      </c>
      <c r="E18" s="8" t="inlineStr">
        <is>
          <t>TRAC</t>
        </is>
      </c>
    </row>
    <row r="19">
      <c r="A19" s="5" t="inlineStr">
        <is>
          <t>1  DevOps (L3)</t>
        </is>
      </c>
      <c r="B19" s="15" t="n">
        <v>578</v>
      </c>
      <c r="C19" s="15" t="n">
        <v>391</v>
      </c>
      <c r="D19" s="15" t="n">
        <v>391</v>
      </c>
      <c r="E19" s="17" t="n">
        <v>313</v>
      </c>
    </row>
    <row r="20">
      <c r="A20" s="5" t="inlineStr">
        <is>
          <t>2  Incident (L2)</t>
        </is>
      </c>
      <c r="B20" s="15" t="n">
        <v>578</v>
      </c>
      <c r="C20" s="15" t="n">
        <v>181</v>
      </c>
      <c r="D20" s="15" t="n">
        <v>165</v>
      </c>
      <c r="E20" s="17" t="n">
        <v>141</v>
      </c>
    </row>
    <row r="21">
      <c r="A21" s="5" t="inlineStr">
        <is>
          <t>3  Finance (L2)</t>
        </is>
      </c>
      <c r="B21" s="15" t="n">
        <v>578</v>
      </c>
      <c r="C21" s="15" t="n">
        <v>71</v>
      </c>
      <c r="D21" s="15" t="n">
        <v>41</v>
      </c>
      <c r="E21" s="17" t="n">
        <v>37</v>
      </c>
    </row>
    <row r="22">
      <c r="A22" s="5" t="inlineStr">
        <is>
          <t>4  Research (L1)</t>
        </is>
      </c>
      <c r="B22" s="15" t="n">
        <v>578</v>
      </c>
      <c r="C22" s="15" t="n">
        <v>40</v>
      </c>
      <c r="D22" s="15" t="n">
        <v>40</v>
      </c>
      <c r="E22" s="17" t="n">
        <v>15</v>
      </c>
    </row>
    <row r="23">
      <c r="A23" s="5" t="inlineStr">
        <is>
          <t>5  Gateway (L3)</t>
        </is>
      </c>
      <c r="B23" s="15" t="n">
        <v>578</v>
      </c>
      <c r="C23" s="15" t="n">
        <v>370</v>
      </c>
      <c r="D23" s="15" t="n">
        <v>350</v>
      </c>
      <c r="E23" s="17" t="n">
        <v>268</v>
      </c>
    </row>
    <row r="24">
      <c r="A24" s="5" t="inlineStr">
        <is>
          <t>6  Security (L3)</t>
        </is>
      </c>
      <c r="B24" s="15" t="n">
        <v>578</v>
      </c>
      <c r="C24" s="15" t="n">
        <v>336</v>
      </c>
      <c r="D24" s="15" t="n">
        <v>309</v>
      </c>
      <c r="E24" s="17" t="n">
        <v>240</v>
      </c>
    </row>
    <row r="25">
      <c r="A25" s="18" t="inlineStr">
        <is>
          <t>TOTAL</t>
        </is>
      </c>
      <c r="B25" s="19" t="n">
        <v>3468</v>
      </c>
      <c r="C25" s="19" t="n">
        <v>1389</v>
      </c>
      <c r="D25" s="19" t="n">
        <v>1296</v>
      </c>
      <c r="E25" s="19" t="n">
        <v>1014</v>
      </c>
    </row>
  </sheetData>
  <mergeCells count="6">
    <mergeCell ref="A2:F2"/>
    <mergeCell ref="A16:E16"/>
    <mergeCell ref="A5:F5"/>
    <mergeCell ref="A6:F6"/>
    <mergeCell ref="A3:F3"/>
    <mergeCell ref="A17:E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46" customWidth="1" min="4" max="4"/>
    <col width="64" customWidth="1" min="5" max="5"/>
    <col width="14" customWidth="1" min="6" max="6"/>
  </cols>
  <sheetData>
    <row r="1">
      <c r="A1" s="1" t="inlineStr">
        <is>
          <t>Logs &amp; Data - GitHub Locations</t>
        </is>
      </c>
    </row>
    <row r="2" ht="42" customHeight="1">
      <c r="A2" s="2" t="inlineStr">
        <is>
          <t>Every table in this workbook (5.1 / 5.2 / 5.3 / 5.3B) is computed by replaying the raw LLM inference logs below through PALADIN's policy engine. Repo: https://github.com/vicvarar-hash/PALADIN_RESEARCH  -  branch: vivargas-microsoft-research-paper-editing. Paths are repo-relative, so the same links resolve on main once merged.</t>
        </is>
      </c>
    </row>
    <row r="4" ht="24" customHeight="1">
      <c r="A4" s="3" t="inlineStr">
        <is>
          <t>INFERENCE LOGS  -  replayed to build 5.2 / 5.3 / 5.3B  (11 logs)</t>
        </is>
      </c>
    </row>
    <row r="5">
      <c r="A5" s="8" t="inlineStr">
        <is>
          <t>used in</t>
        </is>
      </c>
      <c r="B5" s="8" t="inlineStr">
        <is>
          <t>model</t>
        </is>
      </c>
      <c r="C5" s="8" t="inlineStr">
        <is>
          <t>phase</t>
        </is>
      </c>
      <c r="D5" s="8" t="inlineStr">
        <is>
          <t>file</t>
        </is>
      </c>
      <c r="E5" s="8" t="inlineStr">
        <is>
          <t>GitHub location</t>
        </is>
      </c>
      <c r="F5" s="8" t="inlineStr">
        <is>
          <t>in repo?</t>
        </is>
      </c>
    </row>
    <row r="6">
      <c r="A6" s="5" t="inlineStr">
        <is>
          <t>5.2 validation</t>
        </is>
      </c>
      <c r="B6" s="5" t="inlineStr">
        <is>
          <t>gpt-3.5-turbo-16k</t>
        </is>
      </c>
      <c r="C6" s="15" t="inlineStr">
        <is>
          <t>validation</t>
        </is>
      </c>
      <c r="D6" s="16" t="inlineStr">
        <is>
          <t>20260613141204_gpt-35-turbo-16k_validation.json</t>
        </is>
      </c>
      <c r="E6" s="21" t="inlineStr">
        <is>
          <t>https://github.com/vicvarar-hash/PALADIN_RESEARCH/blob/vivargas-microsoft-research-paper-editing/datasets/llm_inference_logs/20260613141204_gpt-35-turbo-16k_validation.json</t>
        </is>
      </c>
      <c r="F6" s="17" t="inlineStr">
        <is>
          <t>committed</t>
        </is>
      </c>
    </row>
    <row r="7">
      <c r="A7" s="5" t="inlineStr">
        <is>
          <t>5.2 validation · 5.3B (gpt-4o)</t>
        </is>
      </c>
      <c r="B7" s="5" t="inlineStr">
        <is>
          <t>gpt-4o</t>
        </is>
      </c>
      <c r="C7" s="15" t="inlineStr">
        <is>
          <t>validation</t>
        </is>
      </c>
      <c r="D7" s="16" t="inlineStr">
        <is>
          <t>20260613005419_gpt-4o_validation.json</t>
        </is>
      </c>
      <c r="E7" s="21" t="inlineStr">
        <is>
          <t>https://github.com/vicvarar-hash/PALADIN_RESEARCH/blob/vivargas-microsoft-research-paper-editing/datasets/llm_inference_logs/20260613005419_gpt-4o_validation.json</t>
        </is>
      </c>
      <c r="F7" s="17" t="inlineStr">
        <is>
          <t>committed</t>
        </is>
      </c>
    </row>
    <row r="8">
      <c r="A8" s="5" t="inlineStr">
        <is>
          <t>5.2 validation</t>
        </is>
      </c>
      <c r="B8" s="5" t="inlineStr">
        <is>
          <t>gpt-5.4</t>
        </is>
      </c>
      <c r="C8" s="15" t="inlineStr">
        <is>
          <t>validation</t>
        </is>
      </c>
      <c r="D8" s="16" t="inlineStr">
        <is>
          <t>20260612191843_gpt-5-4_validation.json</t>
        </is>
      </c>
      <c r="E8" s="21" t="inlineStr">
        <is>
          <t>https://github.com/vicvarar-hash/PALADIN_RESEARCH/blob/vivargas-microsoft-research-paper-editing/datasets/llm_inference_logs/20260612191843_gpt-5-4_validation.json</t>
        </is>
      </c>
      <c r="F8" s="17" t="inlineStr">
        <is>
          <t>committed</t>
        </is>
      </c>
    </row>
    <row r="9">
      <c r="A9" s="5" t="inlineStr">
        <is>
          <t>5.2 validation · 5.3 (opus)</t>
        </is>
      </c>
      <c r="B9" s="5" t="inlineStr">
        <is>
          <t>claude-opus-4.8</t>
        </is>
      </c>
      <c r="C9" s="15" t="inlineStr">
        <is>
          <t>validation</t>
        </is>
      </c>
      <c r="D9" s="16" t="inlineStr">
        <is>
          <t>20260708132606_claude-opus-4-8_validation.json</t>
        </is>
      </c>
      <c r="E9" s="21" t="inlineStr">
        <is>
          <t>https://github.com/vicvarar-hash/PALADIN_RESEARCH/blob/vivargas-microsoft-research-paper-editing/datasets/llm_inference_logs/20260708132606_claude-opus-4-8_validation.json</t>
        </is>
      </c>
      <c r="F9" s="17" t="inlineStr">
        <is>
          <t>committed</t>
        </is>
      </c>
    </row>
    <row r="10">
      <c r="A10" s="5" t="inlineStr">
        <is>
          <t>5.2 validation</t>
        </is>
      </c>
      <c r="B10" s="5" t="inlineStr">
        <is>
          <t>claude-sonnet-4.6</t>
        </is>
      </c>
      <c r="C10" s="15" t="inlineStr">
        <is>
          <t>validation</t>
        </is>
      </c>
      <c r="D10" s="16" t="inlineStr">
        <is>
          <t>20260708134906_claude-sonnet-4-6_validation.json</t>
        </is>
      </c>
      <c r="E10" s="21" t="inlineStr">
        <is>
          <t>https://github.com/vicvarar-hash/PALADIN_RESEARCH/blob/vivargas-microsoft-research-paper-editing/datasets/llm_inference_logs/20260708134906_claude-sonnet-4-6_validation.json</t>
        </is>
      </c>
      <c r="F10" s="17" t="inlineStr">
        <is>
          <t>committed</t>
        </is>
      </c>
    </row>
    <row r="11">
      <c r="A11" s="5" t="inlineStr">
        <is>
          <t>5.2 validation</t>
        </is>
      </c>
      <c r="B11" s="5" t="inlineStr">
        <is>
          <t>gemini-2.5-pro</t>
        </is>
      </c>
      <c r="C11" s="15" t="inlineStr">
        <is>
          <t>validation</t>
        </is>
      </c>
      <c r="D11" s="16" t="inlineStr">
        <is>
          <t>20260708143259_gemini-2-5-pro_validation.json</t>
        </is>
      </c>
      <c r="E11" s="21" t="inlineStr">
        <is>
          <t>https://github.com/vicvarar-hash/PALADIN_RESEARCH/blob/vivargas-microsoft-research-paper-editing/datasets/llm_inference_logs/20260708143259_gemini-2-5-pro_validation.json</t>
        </is>
      </c>
      <c r="F11" s="17" t="inlineStr">
        <is>
          <t>committed</t>
        </is>
      </c>
    </row>
    <row r="12">
      <c r="A12" s="5" t="inlineStr">
        <is>
          <t>5.2 selection · 5.3B (gpt-4o)</t>
        </is>
      </c>
      <c r="B12" s="5" t="inlineStr">
        <is>
          <t>gpt-4o</t>
        </is>
      </c>
      <c r="C12" s="15" t="inlineStr">
        <is>
          <t>selection</t>
        </is>
      </c>
      <c r="D12" s="16" t="inlineStr">
        <is>
          <t>20260528110031_gpt-4o_selection.json</t>
        </is>
      </c>
      <c r="E12" s="21" t="inlineStr">
        <is>
          <t>https://github.com/vicvarar-hash/PALADIN_RESEARCH/blob/vivargas-microsoft-research-paper-editing/datasets/llm_inference_logs/20260528110031_gpt-4o_selection.json</t>
        </is>
      </c>
      <c r="F12" s="17" t="inlineStr">
        <is>
          <t>committed</t>
        </is>
      </c>
    </row>
    <row r="13">
      <c r="A13" s="5" t="inlineStr">
        <is>
          <t>5.2 selection</t>
        </is>
      </c>
      <c r="B13" s="5" t="inlineStr">
        <is>
          <t>gpt-5.4</t>
        </is>
      </c>
      <c r="C13" s="15" t="inlineStr">
        <is>
          <t>selection</t>
        </is>
      </c>
      <c r="D13" s="16" t="inlineStr">
        <is>
          <t>20260613105137_gpt-5-4_selection.json</t>
        </is>
      </c>
      <c r="E13" s="21" t="inlineStr">
        <is>
          <t>https://github.com/vicvarar-hash/PALADIN_RESEARCH/blob/vivargas-microsoft-research-paper-editing/datasets/llm_inference_logs/20260613105137_gpt-5-4_selection.json</t>
        </is>
      </c>
      <c r="F13" s="17" t="inlineStr">
        <is>
          <t>committed</t>
        </is>
      </c>
    </row>
    <row r="14">
      <c r="A14" s="5" t="inlineStr">
        <is>
          <t>5.2 selection · 5.3 (opus)</t>
        </is>
      </c>
      <c r="B14" s="5" t="inlineStr">
        <is>
          <t>claude-opus-4.8</t>
        </is>
      </c>
      <c r="C14" s="15" t="inlineStr">
        <is>
          <t>selection</t>
        </is>
      </c>
      <c r="D14" s="16" t="inlineStr">
        <is>
          <t>20260708204822_claude-opus-4-8_selection.json</t>
        </is>
      </c>
      <c r="E14" s="21" t="inlineStr">
        <is>
          <t>https://github.com/vicvarar-hash/PALADIN_RESEARCH/blob/vivargas-microsoft-research-paper-editing/datasets/llm_inference_logs/20260708204822_claude-opus-4-8_selection.json</t>
        </is>
      </c>
      <c r="F14" s="22" t="inlineStr">
        <is>
          <t>pending commit</t>
        </is>
      </c>
    </row>
    <row r="15">
      <c r="A15" s="5" t="inlineStr">
        <is>
          <t>5.2 selection</t>
        </is>
      </c>
      <c r="B15" s="5" t="inlineStr">
        <is>
          <t>claude-sonnet-4.6</t>
        </is>
      </c>
      <c r="C15" s="15" t="inlineStr">
        <is>
          <t>selection</t>
        </is>
      </c>
      <c r="D15" s="16" t="inlineStr">
        <is>
          <t>20260708204903_claude-sonnet-4-6_selection.json</t>
        </is>
      </c>
      <c r="E15" s="21" t="inlineStr">
        <is>
          <t>https://github.com/vicvarar-hash/PALADIN_RESEARCH/blob/vivargas-microsoft-research-paper-editing/datasets/llm_inference_logs/20260708204903_claude-sonnet-4-6_selection.json</t>
        </is>
      </c>
      <c r="F15" s="22" t="inlineStr">
        <is>
          <t>pending commit</t>
        </is>
      </c>
    </row>
    <row r="16">
      <c r="A16" s="5" t="inlineStr">
        <is>
          <t>5.2 selection</t>
        </is>
      </c>
      <c r="B16" s="5" t="inlineStr">
        <is>
          <t>gemini-2.5-pro</t>
        </is>
      </c>
      <c r="C16" s="15" t="inlineStr">
        <is>
          <t>selection</t>
        </is>
      </c>
      <c r="D16" s="16" t="inlineStr">
        <is>
          <t>20260811152539_gemini-2-5-pro_selection.json</t>
        </is>
      </c>
      <c r="E16" s="21" t="inlineStr">
        <is>
          <t>https://github.com/vicvarar-hash/PALADIN_RESEARCH/blob/vivargas-microsoft-research-paper-editing/datasets/llm_inference_logs/20260811152539_gemini-2-5-pro_selection.json</t>
        </is>
      </c>
      <c r="F16" s="22" t="inlineStr">
        <is>
          <t>pending commit</t>
        </is>
      </c>
    </row>
    <row r="18" ht="24" customHeight="1">
      <c r="A18" s="3" t="inlineStr">
        <is>
          <t>PROVENANCE BACKUPS  -  original truncated API runs (NOT used in the tables)</t>
        </is>
      </c>
    </row>
    <row r="19">
      <c r="A19" s="8" t="inlineStr">
        <is>
          <t>used in</t>
        </is>
      </c>
      <c r="B19" s="8" t="inlineStr">
        <is>
          <t>model</t>
        </is>
      </c>
      <c r="C19" s="8" t="inlineStr">
        <is>
          <t>phase</t>
        </is>
      </c>
      <c r="D19" s="8" t="inlineStr">
        <is>
          <t>file</t>
        </is>
      </c>
      <c r="E19" s="8" t="inlineStr">
        <is>
          <t>GitHub location</t>
        </is>
      </c>
      <c r="F19" s="8" t="inlineStr">
        <is>
          <t>in repo?</t>
        </is>
      </c>
    </row>
    <row r="20">
      <c r="A20" s="5" t="inlineStr">
        <is>
          <t>backup – superseded</t>
        </is>
      </c>
      <c r="B20" s="5" t="inlineStr">
        <is>
          <t>claude-opus-4.8</t>
        </is>
      </c>
      <c r="C20" s="15" t="inlineStr">
        <is>
          <t>selection</t>
        </is>
      </c>
      <c r="D20" s="16" t="inlineStr">
        <is>
          <t>20260708204822_claude-opus-4-8_selection_TRUNCATED_BACKUP.json</t>
        </is>
      </c>
      <c r="E20" s="21" t="inlineStr">
        <is>
          <t>https://github.com/vicvarar-hash/PALADIN_RESEARCH/blob/vivargas-microsoft-research-paper-editing/datasets/llm_inference_logs/20260708204822_claude-opus-4-8_selection_TRUNCATED_BACKUP.json</t>
        </is>
      </c>
      <c r="F20" s="22" t="inlineStr">
        <is>
          <t>pending commit</t>
        </is>
      </c>
    </row>
    <row r="21">
      <c r="A21" s="5" t="inlineStr">
        <is>
          <t>backup – superseded</t>
        </is>
      </c>
      <c r="B21" s="5" t="inlineStr">
        <is>
          <t>claude-sonnet-4.6</t>
        </is>
      </c>
      <c r="C21" s="15" t="inlineStr">
        <is>
          <t>selection</t>
        </is>
      </c>
      <c r="D21" s="16" t="inlineStr">
        <is>
          <t>20260708204903_claude-sonnet-4-6_selection_TRUNCATED_BACKUP.json</t>
        </is>
      </c>
      <c r="E21" s="21" t="inlineStr">
        <is>
          <t>https://github.com/vicvarar-hash/PALADIN_RESEARCH/blob/vivargas-microsoft-research-paper-editing/datasets/llm_inference_logs/20260708204903_claude-sonnet-4-6_selection_TRUNCATED_BACKUP.json</t>
        </is>
      </c>
      <c r="F21" s="22" t="inlineStr">
        <is>
          <t>pending commit</t>
        </is>
      </c>
    </row>
    <row r="23" ht="24" customHeight="1">
      <c r="A23" s="3" t="inlineStr">
        <is>
          <t>SOURCE DATASET  -  the ASTRA task corpus every table derives from</t>
        </is>
      </c>
    </row>
    <row r="24">
      <c r="A24" s="8" t="inlineStr">
        <is>
          <t>used in</t>
        </is>
      </c>
      <c r="B24" s="8" t="inlineStr">
        <is>
          <t>model</t>
        </is>
      </c>
      <c r="C24" s="8" t="inlineStr">
        <is>
          <t>phase</t>
        </is>
      </c>
      <c r="D24" s="8" t="inlineStr">
        <is>
          <t>file</t>
        </is>
      </c>
      <c r="E24" s="8" t="inlineStr">
        <is>
          <t>GitHub location</t>
        </is>
      </c>
      <c r="F24" s="8" t="inlineStr">
        <is>
          <t>in repo?</t>
        </is>
      </c>
    </row>
    <row r="25">
      <c r="A25" s="5" t="inlineStr">
        <is>
          <t>5.1 / 5.2 / 5.3 / 5.3B</t>
        </is>
      </c>
      <c r="B25" s="5" t="inlineStr">
        <is>
          <t>-  (1,157 tasks)</t>
        </is>
      </c>
      <c r="C25" s="15" t="inlineStr">
        <is>
          <t>dataset</t>
        </is>
      </c>
      <c r="D25" s="16" t="inlineStr">
        <is>
          <t>astra_03_tools.json</t>
        </is>
      </c>
      <c r="E25" s="21" t="inlineStr">
        <is>
          <t>https://github.com/vicvarar-hash/PALADIN_RESEARCH/blob/vivargas-microsoft-research-paper-editing/datasets/astra_03_tools.json</t>
        </is>
      </c>
      <c r="F25" s="17" t="inlineStr">
        <is>
          <t>committed</t>
        </is>
      </c>
    </row>
    <row r="27" ht="40" customHeight="1">
      <c r="A27" s="2" t="inlineStr">
        <is>
          <t>opus-4.8 and sonnet-4.6 selection logs were completed with an agent-as-model pass over the tasks their original API runs left truncated (177 and 352 tasks); the untouched originals are the TRUNCATED_BACKUP files above. gemini-2.5-pro selection is an in-environment batched proxy run. 'pending commit' rows are on disk but not yet committed - commit &amp; push the branch for the links to resolve.</t>
        </is>
      </c>
    </row>
  </sheetData>
  <mergeCells count="5">
    <mergeCell ref="A2:F2"/>
    <mergeCell ref="A23:F23"/>
    <mergeCell ref="A27:F27"/>
    <mergeCell ref="A18:F18"/>
    <mergeCell ref="A4:F4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2" r:id="rId7"/>
    <hyperlink xmlns:r="http://schemas.openxmlformats.org/officeDocument/2006/relationships" ref="E13" r:id="rId8"/>
    <hyperlink xmlns:r="http://schemas.openxmlformats.org/officeDocument/2006/relationships" ref="E14" r:id="rId9"/>
    <hyperlink xmlns:r="http://schemas.openxmlformats.org/officeDocument/2006/relationships" ref="E15" r:id="rId10"/>
    <hyperlink xmlns:r="http://schemas.openxmlformats.org/officeDocument/2006/relationships" ref="E16" r:id="rId11"/>
    <hyperlink xmlns:r="http://schemas.openxmlformats.org/officeDocument/2006/relationships" ref="E20" r:id="rId12"/>
    <hyperlink xmlns:r="http://schemas.openxmlformats.org/officeDocument/2006/relationships" ref="E21" r:id="rId13"/>
    <hyperlink xmlns:r="http://schemas.openxmlformats.org/officeDocument/2006/relationships" ref="E25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2026-08-12T16:36:57Z</dcterms:created>
  <dcterms:modified xmlns:dcterms="http://purl.org/dc/terms/" xmlns:xsi="http://www.w3.org/2001/XMLSchema-instance" xsi:type="dcterms:W3CDTF">2026-08-13T16:49:36Z</dcterms:modified>
</cp:coreProperties>
</file>